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xture-of-Experts_Research\paper\"/>
    </mc:Choice>
  </mc:AlternateContent>
  <xr:revisionPtr revIDLastSave="0" documentId="13_ncr:1_{574AF23B-0E19-49D9-9C49-28C081F15084}" xr6:coauthVersionLast="47" xr6:coauthVersionMax="47" xr10:uidLastSave="{00000000-0000-0000-0000-000000000000}"/>
  <bookViews>
    <workbookView xWindow="57480" yWindow="-120" windowWidth="29040" windowHeight="15720" activeTab="1" xr2:uid="{7F82E78F-F225-4B75-B204-CA5D83064DD0}"/>
  </bookViews>
  <sheets>
    <sheet name="Empirical Results Experts" sheetId="2" r:id="rId1"/>
    <sheet name="Formal Results Router" sheetId="5" r:id="rId2"/>
    <sheet name="Formal Results Exper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H8" i="5"/>
  <c r="E8" i="5"/>
  <c r="H7" i="5"/>
  <c r="E7" i="5"/>
  <c r="H6" i="5"/>
  <c r="E6" i="5"/>
  <c r="H5" i="5"/>
  <c r="H9" i="5" s="1"/>
  <c r="E9" i="5"/>
  <c r="H4" i="5"/>
  <c r="E4" i="5"/>
  <c r="H27" i="5"/>
  <c r="H28" i="5"/>
  <c r="H29" i="5"/>
  <c r="H30" i="5"/>
  <c r="H31" i="5"/>
  <c r="K44" i="5"/>
  <c r="I44" i="5"/>
  <c r="G44" i="5"/>
  <c r="F44" i="5"/>
  <c r="D44" i="5"/>
  <c r="J43" i="5"/>
  <c r="H43" i="5"/>
  <c r="E43" i="5"/>
  <c r="J42" i="5"/>
  <c r="H42" i="5"/>
  <c r="E42" i="5"/>
  <c r="J41" i="5"/>
  <c r="H41" i="5"/>
  <c r="E41" i="5"/>
  <c r="J40" i="5"/>
  <c r="H40" i="5"/>
  <c r="E40" i="5"/>
  <c r="J39" i="5"/>
  <c r="H39" i="5"/>
  <c r="E39" i="5"/>
  <c r="K38" i="5"/>
  <c r="I38" i="5"/>
  <c r="G38" i="5"/>
  <c r="F38" i="5"/>
  <c r="D38" i="5"/>
  <c r="J37" i="5"/>
  <c r="H37" i="5"/>
  <c r="E37" i="5"/>
  <c r="J36" i="5"/>
  <c r="H36" i="5"/>
  <c r="E36" i="5"/>
  <c r="J35" i="5"/>
  <c r="H35" i="5"/>
  <c r="E35" i="5"/>
  <c r="J34" i="5"/>
  <c r="H34" i="5"/>
  <c r="E34" i="5"/>
  <c r="J33" i="5"/>
  <c r="H33" i="5"/>
  <c r="E33" i="5"/>
  <c r="K32" i="5"/>
  <c r="I32" i="5"/>
  <c r="G32" i="5"/>
  <c r="F32" i="5"/>
  <c r="D32" i="5"/>
  <c r="J31" i="5"/>
  <c r="E31" i="5"/>
  <c r="J30" i="5"/>
  <c r="E30" i="5"/>
  <c r="J29" i="5"/>
  <c r="E29" i="5"/>
  <c r="J28" i="5"/>
  <c r="E28" i="5"/>
  <c r="J27" i="5"/>
  <c r="H32" i="5"/>
  <c r="E27" i="5"/>
  <c r="K21" i="5"/>
  <c r="I21" i="5"/>
  <c r="G21" i="5"/>
  <c r="F21" i="5"/>
  <c r="D21" i="5"/>
  <c r="J20" i="5"/>
  <c r="H20" i="5"/>
  <c r="E20" i="5"/>
  <c r="J19" i="5"/>
  <c r="H19" i="5"/>
  <c r="E19" i="5"/>
  <c r="J18" i="5"/>
  <c r="H18" i="5"/>
  <c r="E18" i="5"/>
  <c r="J17" i="5"/>
  <c r="H17" i="5"/>
  <c r="E17" i="5"/>
  <c r="J16" i="5"/>
  <c r="H16" i="5"/>
  <c r="E16" i="5"/>
  <c r="K15" i="5"/>
  <c r="I15" i="5"/>
  <c r="G15" i="5"/>
  <c r="F15" i="5"/>
  <c r="D15" i="5"/>
  <c r="J14" i="5"/>
  <c r="H14" i="5"/>
  <c r="E14" i="5"/>
  <c r="J13" i="5"/>
  <c r="H13" i="5"/>
  <c r="E13" i="5"/>
  <c r="J12" i="5"/>
  <c r="H12" i="5"/>
  <c r="E12" i="5"/>
  <c r="J11" i="5"/>
  <c r="H11" i="5"/>
  <c r="E11" i="5"/>
  <c r="J10" i="5"/>
  <c r="H10" i="5"/>
  <c r="E10" i="5"/>
  <c r="K9" i="5"/>
  <c r="I9" i="5"/>
  <c r="G9" i="5"/>
  <c r="F9" i="5"/>
  <c r="D9" i="5"/>
  <c r="J8" i="5"/>
  <c r="J7" i="5"/>
  <c r="J6" i="5"/>
  <c r="J5" i="5"/>
  <c r="J4" i="5"/>
  <c r="K59" i="4"/>
  <c r="J59" i="4"/>
  <c r="I59" i="4"/>
  <c r="H59" i="4"/>
  <c r="F59" i="4"/>
  <c r="E59" i="4"/>
  <c r="D59" i="4"/>
  <c r="C59" i="4"/>
  <c r="K49" i="4"/>
  <c r="J49" i="4"/>
  <c r="I49" i="4"/>
  <c r="H49" i="4"/>
  <c r="F49" i="4"/>
  <c r="E49" i="4"/>
  <c r="D49" i="4"/>
  <c r="C49" i="4"/>
  <c r="K39" i="4"/>
  <c r="J39" i="4"/>
  <c r="I39" i="4"/>
  <c r="H39" i="4"/>
  <c r="F39" i="4"/>
  <c r="E39" i="4"/>
  <c r="D39" i="4"/>
  <c r="C39" i="4"/>
  <c r="K29" i="4"/>
  <c r="J29" i="4"/>
  <c r="I29" i="4"/>
  <c r="H29" i="4"/>
  <c r="F29" i="4"/>
  <c r="E29" i="4"/>
  <c r="D29" i="4"/>
  <c r="C29" i="4"/>
  <c r="K19" i="4"/>
  <c r="J19" i="4"/>
  <c r="I19" i="4"/>
  <c r="H19" i="4"/>
  <c r="F19" i="4"/>
  <c r="E19" i="4"/>
  <c r="D19" i="4"/>
  <c r="C19" i="4"/>
  <c r="K9" i="4"/>
  <c r="J9" i="4"/>
  <c r="I9" i="4"/>
  <c r="H9" i="4"/>
  <c r="D9" i="4"/>
  <c r="E9" i="4"/>
  <c r="C9" i="4"/>
  <c r="C21" i="2"/>
  <c r="K58" i="4"/>
  <c r="F58" i="4"/>
  <c r="K57" i="4"/>
  <c r="F57" i="4"/>
  <c r="K56" i="4"/>
  <c r="F56" i="4"/>
  <c r="K55" i="4"/>
  <c r="F55" i="4"/>
  <c r="K54" i="4"/>
  <c r="F54" i="4"/>
  <c r="K48" i="4"/>
  <c r="F48" i="4"/>
  <c r="K47" i="4"/>
  <c r="F47" i="4"/>
  <c r="K46" i="4"/>
  <c r="F46" i="4"/>
  <c r="K45" i="4"/>
  <c r="F45" i="4"/>
  <c r="K44" i="4"/>
  <c r="F44" i="4"/>
  <c r="K38" i="4"/>
  <c r="F38" i="4"/>
  <c r="K37" i="4"/>
  <c r="F37" i="4"/>
  <c r="K36" i="4"/>
  <c r="F36" i="4"/>
  <c r="K35" i="4"/>
  <c r="F35" i="4"/>
  <c r="K34" i="4"/>
  <c r="F34" i="4"/>
  <c r="K28" i="4"/>
  <c r="F28" i="4"/>
  <c r="K27" i="4"/>
  <c r="F27" i="4"/>
  <c r="K26" i="4"/>
  <c r="F26" i="4"/>
  <c r="K25" i="4"/>
  <c r="F25" i="4"/>
  <c r="K24" i="4"/>
  <c r="F24" i="4"/>
  <c r="K15" i="4"/>
  <c r="K16" i="4"/>
  <c r="K17" i="4"/>
  <c r="K18" i="4"/>
  <c r="K14" i="4"/>
  <c r="K4" i="4"/>
  <c r="K5" i="4"/>
  <c r="K6" i="4"/>
  <c r="K7" i="4"/>
  <c r="K8" i="4"/>
  <c r="F18" i="4"/>
  <c r="F17" i="4"/>
  <c r="F16" i="4"/>
  <c r="F15" i="4"/>
  <c r="F14" i="4"/>
  <c r="F5" i="4"/>
  <c r="F6" i="4"/>
  <c r="F7" i="4"/>
  <c r="F8" i="4"/>
  <c r="F4" i="4"/>
  <c r="H9" i="2"/>
  <c r="H20" i="2"/>
  <c r="H10" i="2"/>
  <c r="F11" i="2"/>
  <c r="F20" i="2"/>
  <c r="E20" i="2"/>
  <c r="D20" i="2"/>
  <c r="C20" i="2"/>
  <c r="F19" i="2"/>
  <c r="E19" i="2"/>
  <c r="D19" i="2"/>
  <c r="C19" i="2"/>
  <c r="D10" i="2"/>
  <c r="E10" i="2"/>
  <c r="F10" i="2"/>
  <c r="C10" i="2"/>
  <c r="D9" i="2"/>
  <c r="E9" i="2"/>
  <c r="E11" i="2" s="1"/>
  <c r="F9" i="2"/>
  <c r="C9" i="2"/>
  <c r="J9" i="5" l="1"/>
  <c r="H15" i="5"/>
  <c r="J15" i="5"/>
  <c r="E15" i="5"/>
  <c r="J44" i="5"/>
  <c r="E44" i="5"/>
  <c r="H44" i="5"/>
  <c r="H21" i="5"/>
  <c r="E21" i="5"/>
  <c r="J38" i="5"/>
  <c r="H38" i="5"/>
  <c r="E38" i="5"/>
  <c r="J21" i="5"/>
  <c r="E32" i="5"/>
  <c r="J32" i="5"/>
  <c r="F9" i="4"/>
  <c r="E21" i="2"/>
  <c r="H19" i="2"/>
  <c r="D21" i="2"/>
  <c r="F21" i="2"/>
  <c r="C11" i="2"/>
  <c r="D11" i="2"/>
</calcChain>
</file>

<file path=xl/sharedStrings.xml><?xml version="1.0" encoding="utf-8"?>
<sst xmlns="http://schemas.openxmlformats.org/spreadsheetml/2006/main" count="105" uniqueCount="24">
  <si>
    <t>epsilon</t>
  </si>
  <si>
    <t>Verified</t>
  </si>
  <si>
    <t>Falsified</t>
  </si>
  <si>
    <t>Unknown</t>
  </si>
  <si>
    <t>Success Rate</t>
  </si>
  <si>
    <t>MNIST</t>
  </si>
  <si>
    <t>CIFAR-10</t>
  </si>
  <si>
    <t>avg</t>
  </si>
  <si>
    <t>num images</t>
  </si>
  <si>
    <t>NRT</t>
  </si>
  <si>
    <t>RT</t>
  </si>
  <si>
    <t>std</t>
  </si>
  <si>
    <t>Clean Acc</t>
  </si>
  <si>
    <t>Adv Acc</t>
  </si>
  <si>
    <t>Average time (seconds per sample)</t>
  </si>
  <si>
    <t>Timeout</t>
  </si>
  <si>
    <t>total num</t>
  </si>
  <si>
    <t>MNIST NRT</t>
  </si>
  <si>
    <t>CIFAR10 NRT</t>
  </si>
  <si>
    <t>MNIST RT</t>
  </si>
  <si>
    <t>CIFAR10 RT</t>
  </si>
  <si>
    <t>avg + std</t>
  </si>
  <si>
    <t>timeout</t>
  </si>
  <si>
    <t>60s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</si>
</sst>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10" fontId="0" fillId="0" borderId="0" xfId="0" applyNumberFormat="1"/>
    <xf numFmtId="0" fontId="0" fillId="0" borderId="3" xfId="0" applyBorder="1"/>
    <xf numFmtId="10" fontId="0" fillId="0" borderId="1" xfId="0" applyNumberFormat="1" applyBorder="1"/>
    <xf numFmtId="0" fontId="0" fillId="0" borderId="5" xfId="0" applyBorder="1"/>
    <xf numFmtId="164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  <xf numFmtId="9" fontId="0" fillId="0" borderId="0" xfId="1" applyFont="1"/>
    <xf numFmtId="0" fontId="0" fillId="2" borderId="0" xfId="0" applyFill="1"/>
    <xf numFmtId="9" fontId="0" fillId="2" borderId="0" xfId="1" applyFont="1" applyFill="1"/>
    <xf numFmtId="9" fontId="0" fillId="0" borderId="0" xfId="1" applyFont="1" applyFill="1"/>
    <xf numFmtId="165" fontId="0" fillId="0" borderId="4" xfId="1" applyNumberFormat="1" applyFont="1" applyBorder="1"/>
    <xf numFmtId="165" fontId="0" fillId="0" borderId="5" xfId="1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19F7-AE6D-458E-87E6-B4E28D246AFC}">
  <dimension ref="A2:H25"/>
  <sheetViews>
    <sheetView zoomScaleNormal="100" workbookViewId="0">
      <selection activeCell="E30" sqref="E30"/>
    </sheetView>
  </sheetViews>
  <sheetFormatPr defaultRowHeight="14.6" x14ac:dyDescent="0.4"/>
  <cols>
    <col min="3" max="3" width="13.84375" customWidth="1"/>
    <col min="4" max="4" width="14" customWidth="1"/>
    <col min="5" max="5" width="13.3046875" customWidth="1"/>
    <col min="6" max="6" width="14.61328125" customWidth="1"/>
    <col min="7" max="7" width="9.23046875" customWidth="1"/>
  </cols>
  <sheetData>
    <row r="2" spans="1:8" x14ac:dyDescent="0.4">
      <c r="C2" s="16" t="s">
        <v>5</v>
      </c>
      <c r="D2" s="16"/>
      <c r="E2" s="16" t="s">
        <v>6</v>
      </c>
      <c r="F2" s="16"/>
    </row>
    <row r="3" spans="1:8" x14ac:dyDescent="0.4">
      <c r="A3" s="17" t="s">
        <v>9</v>
      </c>
      <c r="C3" t="s">
        <v>12</v>
      </c>
      <c r="D3" t="s">
        <v>13</v>
      </c>
      <c r="E3" t="s">
        <v>12</v>
      </c>
      <c r="F3" t="s">
        <v>13</v>
      </c>
    </row>
    <row r="4" spans="1:8" x14ac:dyDescent="0.4">
      <c r="A4" s="17"/>
      <c r="B4">
        <v>1</v>
      </c>
      <c r="C4" s="3">
        <v>0.99209999999999998</v>
      </c>
      <c r="D4" s="3">
        <v>0.58819999999999995</v>
      </c>
      <c r="E4" s="3">
        <v>0.84</v>
      </c>
      <c r="F4" s="3">
        <v>1E-4</v>
      </c>
    </row>
    <row r="5" spans="1:8" x14ac:dyDescent="0.4">
      <c r="A5" s="17"/>
      <c r="B5">
        <v>2</v>
      </c>
      <c r="C5" s="3">
        <v>0.99270000000000003</v>
      </c>
      <c r="D5" s="3">
        <v>0.43640000000000001</v>
      </c>
      <c r="E5" s="3">
        <v>0.83879999999999999</v>
      </c>
      <c r="F5" s="3">
        <v>0</v>
      </c>
    </row>
    <row r="6" spans="1:8" x14ac:dyDescent="0.4">
      <c r="A6" s="17"/>
      <c r="B6">
        <v>3</v>
      </c>
      <c r="C6" s="3">
        <v>0.99199999999999999</v>
      </c>
      <c r="D6" s="3">
        <v>0.4244</v>
      </c>
      <c r="E6" s="3">
        <v>0.83550000000000002</v>
      </c>
      <c r="F6" s="3">
        <v>2.0000000000000001E-4</v>
      </c>
    </row>
    <row r="7" spans="1:8" x14ac:dyDescent="0.4">
      <c r="A7" s="17"/>
      <c r="B7">
        <v>4</v>
      </c>
      <c r="C7" s="3">
        <v>0.99150000000000005</v>
      </c>
      <c r="D7" s="3">
        <v>0.39140000000000003</v>
      </c>
      <c r="E7" s="3">
        <v>0.83789999999999998</v>
      </c>
      <c r="F7" s="3">
        <v>1E-4</v>
      </c>
    </row>
    <row r="8" spans="1:8" x14ac:dyDescent="0.4">
      <c r="A8" s="17"/>
      <c r="B8">
        <v>5</v>
      </c>
      <c r="C8" s="3">
        <v>0.99099999999999999</v>
      </c>
      <c r="D8" s="3">
        <v>0.46250000000000002</v>
      </c>
      <c r="E8" s="3">
        <v>0.83530000000000004</v>
      </c>
      <c r="F8" s="3">
        <v>1E-4</v>
      </c>
    </row>
    <row r="9" spans="1:8" x14ac:dyDescent="0.4">
      <c r="A9" s="17"/>
      <c r="B9" t="s">
        <v>7</v>
      </c>
      <c r="C9" s="8">
        <f>AVERAGE(C4:C8)</f>
        <v>0.99185999999999996</v>
      </c>
      <c r="D9" s="8">
        <f t="shared" ref="D9:F9" si="0">AVERAGE(D4:D8)</f>
        <v>0.46057999999999993</v>
      </c>
      <c r="E9" s="8">
        <f t="shared" si="0"/>
        <v>0.83750000000000002</v>
      </c>
      <c r="F9" s="8">
        <f t="shared" si="0"/>
        <v>1E-4</v>
      </c>
      <c r="H9" s="3">
        <f>C9-D9</f>
        <v>0.53127999999999997</v>
      </c>
    </row>
    <row r="10" spans="1:8" x14ac:dyDescent="0.4">
      <c r="A10" s="17"/>
      <c r="B10" t="s">
        <v>11</v>
      </c>
      <c r="C10" s="8">
        <f>_xlfn.STDEV.S(C4:C8)</f>
        <v>6.4265076052238772E-4</v>
      </c>
      <c r="D10" s="8">
        <f t="shared" ref="D10:F10" si="1">_xlfn.STDEV.S(D4:D8)</f>
        <v>7.5779429926597017E-2</v>
      </c>
      <c r="E10" s="8">
        <f t="shared" si="1"/>
        <v>2.0579115627256395E-3</v>
      </c>
      <c r="F10" s="8">
        <f t="shared" si="1"/>
        <v>7.0710678118654754E-5</v>
      </c>
      <c r="H10" s="3">
        <f>E9-F9</f>
        <v>0.83740000000000003</v>
      </c>
    </row>
    <row r="11" spans="1:8" x14ac:dyDescent="0.4">
      <c r="C11" t="str">
        <f>TEXT(C9,"0.00%") &amp; " ± " &amp; TEXT(C10,"0.00%")</f>
        <v>99.19% ± 0.06%</v>
      </c>
      <c r="D11" t="str">
        <f>TEXT(D9,"0.00%") &amp; " ± " &amp; TEXT(D10,"0.00%")</f>
        <v>46.06% ± 7.58%</v>
      </c>
      <c r="E11" t="str">
        <f>TEXT(E9,"0.00%") &amp; " ± " &amp; TEXT(E10,"0.00%")</f>
        <v>83.75% ± 0.21%</v>
      </c>
      <c r="F11" t="str">
        <f>TEXT(F9,"0.00%") &amp; " ± " &amp; TEXT(F10,"0.00%")</f>
        <v>0.01% ± 0.01%</v>
      </c>
    </row>
    <row r="13" spans="1:8" x14ac:dyDescent="0.4">
      <c r="A13" s="17" t="s">
        <v>10</v>
      </c>
      <c r="C13" t="s">
        <v>12</v>
      </c>
      <c r="D13" t="s">
        <v>13</v>
      </c>
      <c r="E13" t="s">
        <v>12</v>
      </c>
      <c r="F13" t="s">
        <v>13</v>
      </c>
    </row>
    <row r="14" spans="1:8" x14ac:dyDescent="0.4">
      <c r="A14" s="17"/>
      <c r="B14">
        <v>1</v>
      </c>
      <c r="C14" s="3">
        <v>0.99170000000000003</v>
      </c>
      <c r="D14" s="3">
        <v>0.92849999999999999</v>
      </c>
      <c r="E14" s="3">
        <v>0.77800000000000002</v>
      </c>
      <c r="F14" s="3">
        <v>0.17269999999999999</v>
      </c>
    </row>
    <row r="15" spans="1:8" x14ac:dyDescent="0.4">
      <c r="A15" s="17"/>
      <c r="B15">
        <v>2</v>
      </c>
      <c r="C15" s="3">
        <v>0.99119999999999997</v>
      </c>
      <c r="D15" s="3">
        <v>0.81410000000000005</v>
      </c>
      <c r="E15" s="3">
        <v>0.77229999999999999</v>
      </c>
      <c r="F15" s="3">
        <v>0.1719</v>
      </c>
    </row>
    <row r="16" spans="1:8" x14ac:dyDescent="0.4">
      <c r="A16" s="17"/>
      <c r="B16">
        <v>3</v>
      </c>
      <c r="C16" s="3">
        <v>0.9919</v>
      </c>
      <c r="D16" s="3">
        <v>0.92369999999999997</v>
      </c>
      <c r="E16" s="3">
        <v>0.77310000000000001</v>
      </c>
      <c r="F16" s="3">
        <v>0.17199999999999999</v>
      </c>
    </row>
    <row r="17" spans="1:8" x14ac:dyDescent="0.4">
      <c r="A17" s="17"/>
      <c r="B17">
        <v>4</v>
      </c>
      <c r="C17" s="3">
        <v>0.99150000000000005</v>
      </c>
      <c r="D17" s="3">
        <v>0.9556</v>
      </c>
      <c r="E17" s="3">
        <v>0.77590000000000003</v>
      </c>
      <c r="F17" s="3">
        <v>0.17660000000000001</v>
      </c>
    </row>
    <row r="18" spans="1:8" x14ac:dyDescent="0.4">
      <c r="A18" s="17"/>
      <c r="B18">
        <v>5</v>
      </c>
      <c r="C18" s="3">
        <v>0.99199999999999999</v>
      </c>
      <c r="D18" s="3">
        <v>0.91669999999999996</v>
      </c>
      <c r="E18" s="3">
        <v>0.77769999999999995</v>
      </c>
      <c r="F18" s="3">
        <v>0.16900000000000001</v>
      </c>
    </row>
    <row r="19" spans="1:8" x14ac:dyDescent="0.4">
      <c r="A19" s="17"/>
      <c r="B19" t="s">
        <v>7</v>
      </c>
      <c r="C19" s="8">
        <f>AVERAGE(C14:C18)</f>
        <v>0.9916600000000001</v>
      </c>
      <c r="D19" s="8">
        <f t="shared" ref="D19" si="2">AVERAGE(D14:D18)</f>
        <v>0.90771999999999997</v>
      </c>
      <c r="E19" s="8">
        <f t="shared" ref="E19" si="3">AVERAGE(E14:E18)</f>
        <v>0.77539999999999998</v>
      </c>
      <c r="F19" s="8">
        <f t="shared" ref="F19" si="4">AVERAGE(F14:F18)</f>
        <v>0.17243999999999998</v>
      </c>
      <c r="H19" s="3">
        <f>C19-D19</f>
        <v>8.3940000000000126E-2</v>
      </c>
    </row>
    <row r="20" spans="1:8" x14ac:dyDescent="0.4">
      <c r="A20" s="17"/>
      <c r="B20" t="s">
        <v>11</v>
      </c>
      <c r="C20" s="8">
        <f>_xlfn.STDEV.S(C14:C18)</f>
        <v>3.2093613071762869E-4</v>
      </c>
      <c r="D20" s="8">
        <f t="shared" ref="D20:F20" si="5">_xlfn.STDEV.S(D14:D18)</f>
        <v>5.4371426319345321E-2</v>
      </c>
      <c r="E20" s="8">
        <f t="shared" si="5"/>
        <v>2.6076809620810574E-3</v>
      </c>
      <c r="F20" s="8">
        <f t="shared" si="5"/>
        <v>2.7245183060497129E-3</v>
      </c>
      <c r="H20" s="3">
        <f>E19-F19</f>
        <v>0.60295999999999994</v>
      </c>
    </row>
    <row r="21" spans="1:8" x14ac:dyDescent="0.4">
      <c r="C21" t="str">
        <f>TEXT(C19,"0.00%") &amp; " ± " &amp; TEXT(C20,"0.00%")</f>
        <v>99.17% ± 0.03%</v>
      </c>
      <c r="D21" t="str">
        <f t="shared" ref="D21:F21" si="6">TEXT(D19,"0.00%") &amp; " ± " &amp; TEXT(D20,"0.00%")</f>
        <v>90.77% ± 5.44%</v>
      </c>
      <c r="E21" t="str">
        <f t="shared" si="6"/>
        <v>77.54% ± 0.26%</v>
      </c>
      <c r="F21" t="str">
        <f t="shared" si="6"/>
        <v>17.24% ± 0.27%</v>
      </c>
    </row>
    <row r="25" spans="1:8" x14ac:dyDescent="0.4">
      <c r="C25" s="3"/>
      <c r="E25" s="3"/>
    </row>
  </sheetData>
  <mergeCells count="4">
    <mergeCell ref="C2:D2"/>
    <mergeCell ref="E2:F2"/>
    <mergeCell ref="A3:A10"/>
    <mergeCell ref="A13:A20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DA661-BC9F-4454-9B15-6954CF739E01}">
  <dimension ref="A2:N47"/>
  <sheetViews>
    <sheetView tabSelected="1" workbookViewId="0">
      <selection activeCell="O24" sqref="O24"/>
    </sheetView>
  </sheetViews>
  <sheetFormatPr defaultRowHeight="14.6" x14ac:dyDescent="0.4"/>
  <cols>
    <col min="2" max="2" width="12.4609375" customWidth="1"/>
    <col min="10" max="10" width="12.61328125" customWidth="1"/>
    <col min="13" max="13" width="10.84375" customWidth="1"/>
    <col min="14" max="14" width="7.07421875" customWidth="1"/>
  </cols>
  <sheetData>
    <row r="2" spans="1:14" x14ac:dyDescent="0.4">
      <c r="B2" s="17" t="s">
        <v>0</v>
      </c>
      <c r="D2" s="16" t="s">
        <v>5</v>
      </c>
      <c r="E2" s="16"/>
      <c r="F2" s="16"/>
      <c r="G2" s="16" t="s">
        <v>6</v>
      </c>
      <c r="H2" s="16"/>
      <c r="I2" s="16"/>
    </row>
    <row r="3" spans="1:14" x14ac:dyDescent="0.4">
      <c r="B3" s="21"/>
      <c r="D3" t="s">
        <v>1</v>
      </c>
      <c r="E3" t="s">
        <v>2</v>
      </c>
      <c r="F3" t="s">
        <v>3</v>
      </c>
      <c r="G3" t="s">
        <v>1</v>
      </c>
      <c r="H3" t="s">
        <v>2</v>
      </c>
      <c r="I3" t="s">
        <v>3</v>
      </c>
      <c r="J3" t="s">
        <v>4</v>
      </c>
      <c r="K3" t="s">
        <v>14</v>
      </c>
    </row>
    <row r="4" spans="1:14" x14ac:dyDescent="0.4">
      <c r="A4" s="18" t="s">
        <v>9</v>
      </c>
      <c r="B4" s="18">
        <v>7.8399999999999997E-3</v>
      </c>
      <c r="C4" s="2">
        <v>1</v>
      </c>
      <c r="D4" s="1">
        <v>20</v>
      </c>
      <c r="E4" s="1">
        <f>$N$10-D4-F4</f>
        <v>0</v>
      </c>
      <c r="F4" s="1">
        <v>0</v>
      </c>
      <c r="G4" s="1">
        <v>20</v>
      </c>
      <c r="H4" s="1">
        <f>$N$10-G4-I4</f>
        <v>0</v>
      </c>
      <c r="I4" s="1">
        <v>0</v>
      </c>
      <c r="J4" s="5">
        <f>(D4+G4)/($N$10*2)</f>
        <v>1</v>
      </c>
      <c r="K4" s="2">
        <v>4.7</v>
      </c>
    </row>
    <row r="5" spans="1:14" x14ac:dyDescent="0.4">
      <c r="A5" s="19"/>
      <c r="B5" s="19"/>
      <c r="C5" s="4">
        <v>2</v>
      </c>
      <c r="D5">
        <v>20</v>
      </c>
      <c r="E5">
        <f>$N$10-D5-F5</f>
        <v>0</v>
      </c>
      <c r="F5">
        <v>0</v>
      </c>
      <c r="G5">
        <v>20</v>
      </c>
      <c r="H5">
        <f t="shared" ref="H5:H8" si="0">$N$10-G5-I5</f>
        <v>0</v>
      </c>
      <c r="I5">
        <v>0</v>
      </c>
      <c r="J5" s="3">
        <f>(D5+G5)/($N$10*2)</f>
        <v>1</v>
      </c>
      <c r="K5" s="4">
        <v>4.6399999999999997</v>
      </c>
    </row>
    <row r="6" spans="1:14" x14ac:dyDescent="0.4">
      <c r="A6" s="19"/>
      <c r="B6" s="19"/>
      <c r="C6" s="4">
        <v>3</v>
      </c>
      <c r="D6">
        <v>20</v>
      </c>
      <c r="E6">
        <f t="shared" ref="E6:E8" si="1">$N$10-D6-F6</f>
        <v>0</v>
      </c>
      <c r="F6">
        <v>0</v>
      </c>
      <c r="G6">
        <v>20</v>
      </c>
      <c r="H6">
        <f t="shared" si="0"/>
        <v>0</v>
      </c>
      <c r="I6">
        <v>0</v>
      </c>
      <c r="J6" s="3">
        <f>(D6+G6)/($N$10*2)</f>
        <v>1</v>
      </c>
      <c r="K6" s="4">
        <v>4.63</v>
      </c>
    </row>
    <row r="7" spans="1:14" x14ac:dyDescent="0.4">
      <c r="A7" s="19"/>
      <c r="B7" s="19"/>
      <c r="C7" s="4">
        <v>4</v>
      </c>
      <c r="D7">
        <v>20</v>
      </c>
      <c r="E7">
        <f t="shared" si="1"/>
        <v>0</v>
      </c>
      <c r="F7">
        <v>0</v>
      </c>
      <c r="G7">
        <v>20</v>
      </c>
      <c r="H7">
        <f t="shared" si="0"/>
        <v>0</v>
      </c>
      <c r="I7">
        <v>0</v>
      </c>
      <c r="J7" s="3">
        <f>(D7+G7)/($N$10*2)</f>
        <v>1</v>
      </c>
      <c r="K7" s="4">
        <v>4.6100000000000003</v>
      </c>
    </row>
    <row r="8" spans="1:14" x14ac:dyDescent="0.4">
      <c r="A8" s="19"/>
      <c r="B8" s="19"/>
      <c r="C8" s="4">
        <v>5</v>
      </c>
      <c r="D8">
        <v>20</v>
      </c>
      <c r="E8">
        <f t="shared" si="1"/>
        <v>0</v>
      </c>
      <c r="F8">
        <v>0</v>
      </c>
      <c r="G8">
        <v>20</v>
      </c>
      <c r="H8">
        <f t="shared" si="0"/>
        <v>0</v>
      </c>
      <c r="I8">
        <v>0</v>
      </c>
      <c r="J8" s="3">
        <f>(D8+G8)/($N$10*2)</f>
        <v>1</v>
      </c>
      <c r="K8" s="4">
        <v>4.62</v>
      </c>
    </row>
    <row r="9" spans="1:14" x14ac:dyDescent="0.4">
      <c r="A9" s="19"/>
      <c r="B9" s="20"/>
      <c r="C9" s="6" t="s">
        <v>21</v>
      </c>
      <c r="D9" s="14" t="str">
        <f>TEXT(AVERAGE(D4:D8), "0.0") &amp; " ± " &amp; TEXT(_xlfn.STDEV.S(D4:D8), "0.0")</f>
        <v>20.0 ± 0.0</v>
      </c>
      <c r="E9" s="14" t="str">
        <f t="shared" ref="E9:I9" si="2">TEXT(AVERAGE(E4:E8), "0.0") &amp; " ± " &amp; TEXT(_xlfn.STDEV.S(E4:E8), "0.0")</f>
        <v>0.0 ± 0.0</v>
      </c>
      <c r="F9" s="14" t="str">
        <f t="shared" si="2"/>
        <v>0.0 ± 0.0</v>
      </c>
      <c r="G9" s="14" t="str">
        <f t="shared" si="2"/>
        <v>20.0 ± 0.0</v>
      </c>
      <c r="H9" s="14" t="str">
        <f t="shared" si="2"/>
        <v>0.0 ± 0.0</v>
      </c>
      <c r="I9" s="14" t="str">
        <f t="shared" si="2"/>
        <v>0.0 ± 0.0</v>
      </c>
      <c r="J9" s="14" t="str">
        <f>TEXT(AVERAGE(J4:J8), "0.0%") &amp; " ± " &amp; TEXT(_xlfn.STDEV.S(J4:J8), "0.0%")</f>
        <v>100.0% ± 0.0%</v>
      </c>
      <c r="K9" s="15" t="str">
        <f t="shared" ref="K9" si="3">TEXT(AVERAGE(K4:K8), "0.0") &amp; " ± " &amp; TEXT(_xlfn.STDEV.S(K4:K8), "0.0")</f>
        <v>4.6 ± 0.0</v>
      </c>
    </row>
    <row r="10" spans="1:14" x14ac:dyDescent="0.4">
      <c r="A10" s="19"/>
      <c r="B10" s="18">
        <v>1.5689999999999999E-2</v>
      </c>
      <c r="C10" s="2">
        <v>1</v>
      </c>
      <c r="D10" s="1">
        <v>20</v>
      </c>
      <c r="E10" s="1">
        <f>$N$10-D10-F10</f>
        <v>0</v>
      </c>
      <c r="F10" s="1">
        <v>0</v>
      </c>
      <c r="G10" s="1">
        <v>20</v>
      </c>
      <c r="H10" s="1">
        <f>$N$10-G10-I10</f>
        <v>0</v>
      </c>
      <c r="I10" s="1">
        <v>0</v>
      </c>
      <c r="J10" s="5">
        <f>(D10+G10)/($N$10*2)</f>
        <v>1</v>
      </c>
      <c r="K10" s="2">
        <v>4.68</v>
      </c>
      <c r="M10" t="s">
        <v>8</v>
      </c>
      <c r="N10">
        <v>20</v>
      </c>
    </row>
    <row r="11" spans="1:14" x14ac:dyDescent="0.4">
      <c r="A11" s="19"/>
      <c r="B11" s="19"/>
      <c r="C11" s="4">
        <v>2</v>
      </c>
      <c r="D11">
        <v>20</v>
      </c>
      <c r="E11">
        <f t="shared" ref="E11:E14" si="4">$N$10-D11-F11</f>
        <v>0</v>
      </c>
      <c r="F11">
        <v>0</v>
      </c>
      <c r="G11">
        <v>20</v>
      </c>
      <c r="H11">
        <f t="shared" ref="H11:H14" si="5">$N$10-G11-I11</f>
        <v>0</v>
      </c>
      <c r="I11">
        <v>0</v>
      </c>
      <c r="J11" s="3">
        <f>(D11+G11)/($N$10*2)</f>
        <v>1</v>
      </c>
      <c r="K11" s="4">
        <v>4.63</v>
      </c>
    </row>
    <row r="12" spans="1:14" x14ac:dyDescent="0.4">
      <c r="A12" s="19"/>
      <c r="B12" s="19"/>
      <c r="C12" s="4">
        <v>3</v>
      </c>
      <c r="D12">
        <v>20</v>
      </c>
      <c r="E12">
        <f t="shared" si="4"/>
        <v>0</v>
      </c>
      <c r="F12">
        <v>0</v>
      </c>
      <c r="G12">
        <v>20</v>
      </c>
      <c r="H12">
        <f t="shared" si="5"/>
        <v>0</v>
      </c>
      <c r="I12">
        <v>0</v>
      </c>
      <c r="J12" s="3">
        <f t="shared" ref="J12:J14" si="6">(D12+G12)/($N$10*2)</f>
        <v>1</v>
      </c>
      <c r="K12" s="4">
        <v>4.62</v>
      </c>
      <c r="M12" t="s">
        <v>22</v>
      </c>
      <c r="N12" t="s">
        <v>23</v>
      </c>
    </row>
    <row r="13" spans="1:14" x14ac:dyDescent="0.4">
      <c r="A13" s="19"/>
      <c r="B13" s="19"/>
      <c r="C13" s="4">
        <v>4</v>
      </c>
      <c r="D13">
        <v>20</v>
      </c>
      <c r="E13">
        <f t="shared" si="4"/>
        <v>0</v>
      </c>
      <c r="F13">
        <v>0</v>
      </c>
      <c r="G13">
        <v>20</v>
      </c>
      <c r="H13">
        <f t="shared" si="5"/>
        <v>0</v>
      </c>
      <c r="I13">
        <v>0</v>
      </c>
      <c r="J13" s="3">
        <f t="shared" si="6"/>
        <v>1</v>
      </c>
      <c r="K13" s="4">
        <v>4.6100000000000003</v>
      </c>
    </row>
    <row r="14" spans="1:14" x14ac:dyDescent="0.4">
      <c r="A14" s="19"/>
      <c r="B14" s="19"/>
      <c r="C14" s="4">
        <v>5</v>
      </c>
      <c r="D14">
        <v>20</v>
      </c>
      <c r="E14">
        <f t="shared" si="4"/>
        <v>0</v>
      </c>
      <c r="F14">
        <v>0</v>
      </c>
      <c r="G14">
        <v>20</v>
      </c>
      <c r="H14">
        <f t="shared" si="5"/>
        <v>0</v>
      </c>
      <c r="I14">
        <v>0</v>
      </c>
      <c r="J14" s="3">
        <f t="shared" si="6"/>
        <v>1</v>
      </c>
      <c r="K14" s="4">
        <v>4.5999999999999996</v>
      </c>
    </row>
    <row r="15" spans="1:14" x14ac:dyDescent="0.4">
      <c r="A15" s="19"/>
      <c r="B15" s="20"/>
      <c r="C15" s="6" t="s">
        <v>21</v>
      </c>
      <c r="D15" s="14" t="str">
        <f>TEXT(AVERAGE(D10:D14), "0.0") &amp; " ± " &amp; TEXT(_xlfn.STDEV.S(D10:D14), "0.0")</f>
        <v>20.0 ± 0.0</v>
      </c>
      <c r="E15" s="14" t="str">
        <f t="shared" ref="E15:I15" si="7">TEXT(AVERAGE(E10:E14), "0.0") &amp; " ± " &amp; TEXT(_xlfn.STDEV.S(E10:E14), "0.0")</f>
        <v>0.0 ± 0.0</v>
      </c>
      <c r="F15" s="14" t="str">
        <f t="shared" si="7"/>
        <v>0.0 ± 0.0</v>
      </c>
      <c r="G15" s="14" t="str">
        <f t="shared" si="7"/>
        <v>20.0 ± 0.0</v>
      </c>
      <c r="H15" s="14" t="str">
        <f t="shared" si="7"/>
        <v>0.0 ± 0.0</v>
      </c>
      <c r="I15" s="14" t="str">
        <f t="shared" si="7"/>
        <v>0.0 ± 0.0</v>
      </c>
      <c r="J15" s="14" t="str">
        <f>TEXT(AVERAGE(J10:J14), "0.0%") &amp; " ± " &amp; TEXT(_xlfn.STDEV.S(J10:J14), "0.0%")</f>
        <v>100.0% ± 0.0%</v>
      </c>
      <c r="K15" s="15" t="str">
        <f t="shared" ref="K15" si="8">TEXT(AVERAGE(K10:K14), "0.0") &amp; " ± " &amp; TEXT(_xlfn.STDEV.S(K10:K14), "0.0")</f>
        <v>4.6 ± 0.0</v>
      </c>
    </row>
    <row r="16" spans="1:14" x14ac:dyDescent="0.4">
      <c r="A16" s="19"/>
      <c r="B16" s="18">
        <v>3.1370000000000002E-2</v>
      </c>
      <c r="C16" s="2">
        <v>1</v>
      </c>
      <c r="D16" s="1">
        <v>4</v>
      </c>
      <c r="E16" s="1">
        <f>$N$10-D16-F16</f>
        <v>0</v>
      </c>
      <c r="F16" s="1">
        <v>16</v>
      </c>
      <c r="G16" s="1">
        <v>20</v>
      </c>
      <c r="H16" s="1">
        <f>$N$10-G16-I16</f>
        <v>0</v>
      </c>
      <c r="I16" s="1">
        <v>0</v>
      </c>
      <c r="J16" s="5">
        <f>(D16+G16)/($N$10*2)</f>
        <v>0.6</v>
      </c>
      <c r="K16" s="2">
        <v>53.08</v>
      </c>
    </row>
    <row r="17" spans="1:11" x14ac:dyDescent="0.4">
      <c r="A17" s="19"/>
      <c r="B17" s="19"/>
      <c r="C17" s="4">
        <v>2</v>
      </c>
      <c r="D17">
        <v>4</v>
      </c>
      <c r="E17">
        <f t="shared" ref="E17:E20" si="9">$N$10-D17-F17</f>
        <v>0</v>
      </c>
      <c r="F17">
        <v>16</v>
      </c>
      <c r="G17">
        <v>20</v>
      </c>
      <c r="H17">
        <f t="shared" ref="H17:H20" si="10">$N$10-G17-I17</f>
        <v>0</v>
      </c>
      <c r="I17">
        <v>0</v>
      </c>
      <c r="J17" s="3">
        <f>(D17+G17)/($N$10*2)</f>
        <v>0.6</v>
      </c>
      <c r="K17" s="4">
        <v>53.3</v>
      </c>
    </row>
    <row r="18" spans="1:11" x14ac:dyDescent="0.4">
      <c r="A18" s="19"/>
      <c r="B18" s="19"/>
      <c r="C18" s="4">
        <v>3</v>
      </c>
      <c r="D18">
        <v>4</v>
      </c>
      <c r="E18">
        <f t="shared" si="9"/>
        <v>0</v>
      </c>
      <c r="F18">
        <v>16</v>
      </c>
      <c r="G18">
        <v>20</v>
      </c>
      <c r="H18">
        <f t="shared" si="10"/>
        <v>0</v>
      </c>
      <c r="I18">
        <v>0</v>
      </c>
      <c r="J18" s="3">
        <f t="shared" ref="J18:J20" si="11">(D18+G18)/($N$10*2)</f>
        <v>0.6</v>
      </c>
      <c r="K18" s="4">
        <v>53.44</v>
      </c>
    </row>
    <row r="19" spans="1:11" x14ac:dyDescent="0.4">
      <c r="A19" s="19"/>
      <c r="B19" s="19"/>
      <c r="C19" s="4">
        <v>4</v>
      </c>
      <c r="D19">
        <v>4</v>
      </c>
      <c r="E19">
        <f t="shared" si="9"/>
        <v>0</v>
      </c>
      <c r="F19">
        <v>16</v>
      </c>
      <c r="G19">
        <v>20</v>
      </c>
      <c r="H19">
        <f t="shared" si="10"/>
        <v>0</v>
      </c>
      <c r="I19">
        <v>0</v>
      </c>
      <c r="J19" s="3">
        <f t="shared" si="11"/>
        <v>0.6</v>
      </c>
      <c r="K19" s="4">
        <v>53.46</v>
      </c>
    </row>
    <row r="20" spans="1:11" x14ac:dyDescent="0.4">
      <c r="A20" s="19"/>
      <c r="B20" s="19"/>
      <c r="C20" s="4">
        <v>5</v>
      </c>
      <c r="D20">
        <v>4</v>
      </c>
      <c r="E20">
        <f t="shared" si="9"/>
        <v>0</v>
      </c>
      <c r="F20">
        <v>16</v>
      </c>
      <c r="G20">
        <v>20</v>
      </c>
      <c r="H20">
        <f t="shared" si="10"/>
        <v>0</v>
      </c>
      <c r="I20">
        <v>0</v>
      </c>
      <c r="J20" s="3">
        <f t="shared" si="11"/>
        <v>0.6</v>
      </c>
      <c r="K20" s="4">
        <v>53.51</v>
      </c>
    </row>
    <row r="21" spans="1:11" x14ac:dyDescent="0.4">
      <c r="A21" s="20"/>
      <c r="B21" s="20"/>
      <c r="C21" s="6" t="s">
        <v>21</v>
      </c>
      <c r="D21" s="14" t="str">
        <f>TEXT(AVERAGE(D16:D20), "0.0") &amp; " ± " &amp; TEXT(_xlfn.STDEV.S(D16:D20), "0.0")</f>
        <v>4.0 ± 0.0</v>
      </c>
      <c r="E21" s="14" t="str">
        <f>TEXT(AVERAGE(E16:E20), "0.0") &amp; " ± " &amp; TEXT(_xlfn.STDEV.S(E16:E20), "0.0")</f>
        <v>0.0 ± 0.0</v>
      </c>
      <c r="F21" s="14" t="str">
        <f t="shared" ref="F21:I21" si="12">TEXT(AVERAGE(F16:F20), "0.0") &amp; " ± " &amp; TEXT(_xlfn.STDEV.S(F16:F20), "0.0")</f>
        <v>16.0 ± 0.0</v>
      </c>
      <c r="G21" s="14" t="str">
        <f t="shared" si="12"/>
        <v>20.0 ± 0.0</v>
      </c>
      <c r="H21" s="14" t="str">
        <f t="shared" si="12"/>
        <v>0.0 ± 0.0</v>
      </c>
      <c r="I21" s="14" t="str">
        <f t="shared" si="12"/>
        <v>0.0 ± 0.0</v>
      </c>
      <c r="J21" s="14" t="str">
        <f>TEXT(AVERAGE(J16:J20), "0.0%") &amp; " ± " &amp; TEXT(_xlfn.STDEV.S(J16:J20), "0.0%")</f>
        <v>60.0% ± 0.0%</v>
      </c>
      <c r="K21" s="15" t="str">
        <f t="shared" ref="K21" si="13">TEXT(AVERAGE(K16:K20), "0.0") &amp; " ± " &amp; TEXT(_xlfn.STDEV.S(K16:K20), "0.0")</f>
        <v>53.4 ± 0.2</v>
      </c>
    </row>
    <row r="22" spans="1:11" x14ac:dyDescent="0.4">
      <c r="D22" s="7"/>
      <c r="E22" s="7"/>
      <c r="F22" s="7"/>
      <c r="G22" s="7"/>
      <c r="H22" s="7"/>
      <c r="I22" s="7"/>
      <c r="J22" s="7"/>
      <c r="K22" s="7"/>
    </row>
    <row r="23" spans="1:11" x14ac:dyDescent="0.4">
      <c r="D23" s="7"/>
      <c r="E23" s="7"/>
      <c r="F23" s="7"/>
      <c r="G23" s="7"/>
      <c r="H23" s="7"/>
      <c r="I23" s="7"/>
      <c r="J23" s="7"/>
      <c r="K23" s="7"/>
    </row>
    <row r="24" spans="1:11" x14ac:dyDescent="0.4">
      <c r="D24" s="7"/>
      <c r="E24" s="7"/>
      <c r="F24" s="7"/>
      <c r="G24" s="7"/>
      <c r="H24" s="7"/>
      <c r="I24" s="7"/>
      <c r="J24" s="7"/>
      <c r="K24" s="7"/>
    </row>
    <row r="27" spans="1:11" x14ac:dyDescent="0.4">
      <c r="A27" s="18" t="s">
        <v>10</v>
      </c>
      <c r="B27" s="18">
        <v>7.8399999999999997E-3</v>
      </c>
      <c r="C27" s="2">
        <v>1</v>
      </c>
      <c r="D27" s="1">
        <v>20</v>
      </c>
      <c r="E27" s="1">
        <f>$N$10-D27-F27</f>
        <v>0</v>
      </c>
      <c r="F27" s="1">
        <v>0</v>
      </c>
      <c r="G27" s="1">
        <v>20</v>
      </c>
      <c r="H27" s="1">
        <f>$N$10-G27-I27</f>
        <v>0</v>
      </c>
      <c r="I27" s="1">
        <v>0</v>
      </c>
      <c r="J27" s="5">
        <f>(D27+G27)/($N$10*2)</f>
        <v>1</v>
      </c>
      <c r="K27" s="2">
        <v>4.58</v>
      </c>
    </row>
    <row r="28" spans="1:11" x14ac:dyDescent="0.4">
      <c r="A28" s="19"/>
      <c r="B28" s="19"/>
      <c r="C28" s="4">
        <v>2</v>
      </c>
      <c r="D28">
        <v>20</v>
      </c>
      <c r="E28">
        <f>$N$10-D28-F28</f>
        <v>0</v>
      </c>
      <c r="F28">
        <v>0</v>
      </c>
      <c r="G28">
        <v>20</v>
      </c>
      <c r="H28">
        <f>$N$10-G28-I28</f>
        <v>0</v>
      </c>
      <c r="I28">
        <v>0</v>
      </c>
      <c r="J28" s="3">
        <f>(D28+G28)/($N$10*2)</f>
        <v>1</v>
      </c>
      <c r="K28" s="4">
        <v>4.5999999999999996</v>
      </c>
    </row>
    <row r="29" spans="1:11" x14ac:dyDescent="0.4">
      <c r="A29" s="19"/>
      <c r="B29" s="19"/>
      <c r="C29" s="4">
        <v>3</v>
      </c>
      <c r="D29">
        <v>20</v>
      </c>
      <c r="E29">
        <f t="shared" ref="E29:E31" si="14">$N$10-D29-F29</f>
        <v>0</v>
      </c>
      <c r="F29">
        <v>0</v>
      </c>
      <c r="G29">
        <v>20</v>
      </c>
      <c r="H29">
        <f>$N$10-G29-I29</f>
        <v>0</v>
      </c>
      <c r="I29">
        <v>0</v>
      </c>
      <c r="J29" s="3">
        <f>(D29+G29)/($N$10*2)</f>
        <v>1</v>
      </c>
      <c r="K29" s="4">
        <v>4.5999999999999996</v>
      </c>
    </row>
    <row r="30" spans="1:11" x14ac:dyDescent="0.4">
      <c r="A30" s="19"/>
      <c r="B30" s="19"/>
      <c r="C30" s="4">
        <v>4</v>
      </c>
      <c r="D30">
        <v>20</v>
      </c>
      <c r="E30">
        <f t="shared" si="14"/>
        <v>0</v>
      </c>
      <c r="F30">
        <v>0</v>
      </c>
      <c r="G30">
        <v>20</v>
      </c>
      <c r="H30">
        <f t="shared" ref="H30:H31" si="15">$N$10-G30-I30</f>
        <v>0</v>
      </c>
      <c r="I30">
        <v>0</v>
      </c>
      <c r="J30" s="3">
        <f>(D30+G30)/($N$10*2)</f>
        <v>1</v>
      </c>
      <c r="K30" s="4">
        <v>4.6100000000000003</v>
      </c>
    </row>
    <row r="31" spans="1:11" x14ac:dyDescent="0.4">
      <c r="A31" s="19"/>
      <c r="B31" s="19"/>
      <c r="C31" s="4">
        <v>5</v>
      </c>
      <c r="D31">
        <v>20</v>
      </c>
      <c r="E31">
        <f t="shared" si="14"/>
        <v>0</v>
      </c>
      <c r="F31">
        <v>0</v>
      </c>
      <c r="G31">
        <v>20</v>
      </c>
      <c r="H31">
        <f t="shared" si="15"/>
        <v>0</v>
      </c>
      <c r="I31">
        <v>0</v>
      </c>
      <c r="J31" s="3">
        <f>(D31+G31)/($N$10*2)</f>
        <v>1</v>
      </c>
      <c r="K31" s="4">
        <v>4.58</v>
      </c>
    </row>
    <row r="32" spans="1:11" x14ac:dyDescent="0.4">
      <c r="A32" s="19"/>
      <c r="B32" s="20"/>
      <c r="C32" s="6" t="s">
        <v>21</v>
      </c>
      <c r="D32" s="14" t="str">
        <f>TEXT(AVERAGE(D27:D31), "0.0") &amp; " ± " &amp; TEXT(_xlfn.STDEV.S(D27:D31), "0.0")</f>
        <v>20.0 ± 0.0</v>
      </c>
      <c r="E32" s="14" t="str">
        <f t="shared" ref="E32:K32" si="16">TEXT(AVERAGE(E27:E31), "0.0") &amp; " ± " &amp; TEXT(_xlfn.STDEV.S(E27:E31), "0.0")</f>
        <v>0.0 ± 0.0</v>
      </c>
      <c r="F32" s="14" t="str">
        <f t="shared" si="16"/>
        <v>0.0 ± 0.0</v>
      </c>
      <c r="G32" s="14" t="str">
        <f t="shared" si="16"/>
        <v>20.0 ± 0.0</v>
      </c>
      <c r="H32" s="14" t="str">
        <f t="shared" si="16"/>
        <v>0.0 ± 0.0</v>
      </c>
      <c r="I32" s="14" t="str">
        <f t="shared" si="16"/>
        <v>0.0 ± 0.0</v>
      </c>
      <c r="J32" s="14" t="str">
        <f>TEXT(AVERAGE(J27:J31), "0.0%") &amp; " ± " &amp; TEXT(_xlfn.STDEV.S(J27:J31), "0.0%")</f>
        <v>100.0% ± 0.0%</v>
      </c>
      <c r="K32" s="15" t="str">
        <f t="shared" si="16"/>
        <v>4.6 ± 0.0</v>
      </c>
    </row>
    <row r="33" spans="1:11" x14ac:dyDescent="0.4">
      <c r="A33" s="19"/>
      <c r="B33" s="18">
        <v>1.5689999999999999E-2</v>
      </c>
      <c r="C33" s="2">
        <v>1</v>
      </c>
      <c r="D33" s="1">
        <v>20</v>
      </c>
      <c r="E33">
        <f t="shared" ref="E33:E37" si="17">$N$10-D33-F33</f>
        <v>0</v>
      </c>
      <c r="F33" s="1">
        <v>0</v>
      </c>
      <c r="G33" s="1">
        <v>20</v>
      </c>
      <c r="H33">
        <f t="shared" ref="H33:H37" si="18">$N$10-G33-I33</f>
        <v>0</v>
      </c>
      <c r="I33" s="1">
        <v>0</v>
      </c>
      <c r="J33" s="5">
        <f>(D33+G33)/($N$10*2)</f>
        <v>1</v>
      </c>
      <c r="K33" s="2">
        <v>4.58</v>
      </c>
    </row>
    <row r="34" spans="1:11" x14ac:dyDescent="0.4">
      <c r="A34" s="19"/>
      <c r="B34" s="19"/>
      <c r="C34" s="4">
        <v>2</v>
      </c>
      <c r="D34">
        <v>20</v>
      </c>
      <c r="E34">
        <f t="shared" si="17"/>
        <v>0</v>
      </c>
      <c r="F34">
        <v>0</v>
      </c>
      <c r="G34">
        <v>20</v>
      </c>
      <c r="H34">
        <f t="shared" si="18"/>
        <v>0</v>
      </c>
      <c r="I34">
        <v>0</v>
      </c>
      <c r="J34" s="3">
        <f t="shared" ref="J34:J37" si="19">(D34+G34)/($N$10*2)</f>
        <v>1</v>
      </c>
      <c r="K34" s="4">
        <v>4.5599999999999996</v>
      </c>
    </row>
    <row r="35" spans="1:11" x14ac:dyDescent="0.4">
      <c r="A35" s="19"/>
      <c r="B35" s="19"/>
      <c r="C35" s="4">
        <v>3</v>
      </c>
      <c r="D35">
        <v>20</v>
      </c>
      <c r="E35">
        <f t="shared" si="17"/>
        <v>0</v>
      </c>
      <c r="F35">
        <v>0</v>
      </c>
      <c r="G35">
        <v>20</v>
      </c>
      <c r="H35">
        <f t="shared" si="18"/>
        <v>0</v>
      </c>
      <c r="I35">
        <v>0</v>
      </c>
      <c r="J35" s="3">
        <f t="shared" si="19"/>
        <v>1</v>
      </c>
      <c r="K35" s="4">
        <v>4.58</v>
      </c>
    </row>
    <row r="36" spans="1:11" x14ac:dyDescent="0.4">
      <c r="A36" s="19"/>
      <c r="B36" s="19"/>
      <c r="C36" s="4">
        <v>4</v>
      </c>
      <c r="D36">
        <v>20</v>
      </c>
      <c r="E36">
        <f t="shared" si="17"/>
        <v>0</v>
      </c>
      <c r="F36">
        <v>0</v>
      </c>
      <c r="G36">
        <v>20</v>
      </c>
      <c r="H36">
        <f t="shared" si="18"/>
        <v>0</v>
      </c>
      <c r="I36">
        <v>0</v>
      </c>
      <c r="J36" s="3">
        <f t="shared" si="19"/>
        <v>1</v>
      </c>
      <c r="K36" s="4">
        <v>4.59</v>
      </c>
    </row>
    <row r="37" spans="1:11" x14ac:dyDescent="0.4">
      <c r="A37" s="19"/>
      <c r="B37" s="19"/>
      <c r="C37" s="4">
        <v>5</v>
      </c>
      <c r="D37">
        <v>20</v>
      </c>
      <c r="E37">
        <f t="shared" si="17"/>
        <v>0</v>
      </c>
      <c r="F37">
        <v>0</v>
      </c>
      <c r="G37">
        <v>20</v>
      </c>
      <c r="H37">
        <f t="shared" si="18"/>
        <v>0</v>
      </c>
      <c r="I37">
        <v>0</v>
      </c>
      <c r="J37" s="3">
        <f t="shared" si="19"/>
        <v>1</v>
      </c>
      <c r="K37" s="4">
        <v>4.57</v>
      </c>
    </row>
    <row r="38" spans="1:11" x14ac:dyDescent="0.4">
      <c r="A38" s="19"/>
      <c r="B38" s="20"/>
      <c r="C38" s="6" t="s">
        <v>21</v>
      </c>
      <c r="D38" s="14" t="str">
        <f>TEXT(AVERAGE(D33:D37), "0.0") &amp; " ± " &amp; TEXT(_xlfn.STDEV.S(D33:D37), "0.0")</f>
        <v>20.0 ± 0.0</v>
      </c>
      <c r="E38" s="14" t="str">
        <f t="shared" ref="E38:K38" si="20">TEXT(AVERAGE(E33:E37), "0.0") &amp; " ± " &amp; TEXT(_xlfn.STDEV.S(E33:E37), "0.0")</f>
        <v>0.0 ± 0.0</v>
      </c>
      <c r="F38" s="14" t="str">
        <f t="shared" si="20"/>
        <v>0.0 ± 0.0</v>
      </c>
      <c r="G38" s="14" t="str">
        <f t="shared" si="20"/>
        <v>20.0 ± 0.0</v>
      </c>
      <c r="H38" s="14" t="str">
        <f t="shared" si="20"/>
        <v>0.0 ± 0.0</v>
      </c>
      <c r="I38" s="14" t="str">
        <f t="shared" si="20"/>
        <v>0.0 ± 0.0</v>
      </c>
      <c r="J38" s="14" t="str">
        <f>TEXT(AVERAGE(J33:J37), "0.0%") &amp; " ± " &amp; TEXT(_xlfn.STDEV.S(J33:J37), "0.0%")</f>
        <v>100.0% ± 0.0%</v>
      </c>
      <c r="K38" s="15" t="str">
        <f t="shared" si="20"/>
        <v>4.6 ± 0.0</v>
      </c>
    </row>
    <row r="39" spans="1:11" x14ac:dyDescent="0.4">
      <c r="A39" s="19"/>
      <c r="B39" s="18">
        <v>3.1370000000000002E-2</v>
      </c>
      <c r="C39" s="2">
        <v>1</v>
      </c>
      <c r="D39" s="1">
        <v>20</v>
      </c>
      <c r="E39" s="1">
        <f>$N$10-D39-F39</f>
        <v>0</v>
      </c>
      <c r="F39" s="1">
        <v>0</v>
      </c>
      <c r="G39" s="1">
        <v>20</v>
      </c>
      <c r="H39" s="1">
        <f>$N$10-G39-I39</f>
        <v>0</v>
      </c>
      <c r="I39" s="1">
        <v>0</v>
      </c>
      <c r="J39" s="5">
        <f>(D39+G39)/($N$10*2)</f>
        <v>1</v>
      </c>
      <c r="K39" s="2">
        <v>4.53</v>
      </c>
    </row>
    <row r="40" spans="1:11" x14ac:dyDescent="0.4">
      <c r="A40" s="19"/>
      <c r="B40" s="19"/>
      <c r="C40" s="4">
        <v>2</v>
      </c>
      <c r="D40">
        <v>20</v>
      </c>
      <c r="E40">
        <f t="shared" ref="E40:E43" si="21">$N$10-D40-F40</f>
        <v>0</v>
      </c>
      <c r="F40">
        <v>0</v>
      </c>
      <c r="G40">
        <v>20</v>
      </c>
      <c r="H40">
        <f t="shared" ref="H40:H43" si="22">$N$10-G40-I40</f>
        <v>0</v>
      </c>
      <c r="I40">
        <v>0</v>
      </c>
      <c r="J40" s="3">
        <f t="shared" ref="J40:J43" si="23">(D40+G40)/($N$10*2)</f>
        <v>1</v>
      </c>
      <c r="K40" s="4">
        <v>4.51</v>
      </c>
    </row>
    <row r="41" spans="1:11" x14ac:dyDescent="0.4">
      <c r="A41" s="19"/>
      <c r="B41" s="19"/>
      <c r="C41" s="4">
        <v>3</v>
      </c>
      <c r="D41">
        <v>20</v>
      </c>
      <c r="E41">
        <f t="shared" si="21"/>
        <v>0</v>
      </c>
      <c r="F41">
        <v>0</v>
      </c>
      <c r="G41">
        <v>20</v>
      </c>
      <c r="H41">
        <f t="shared" si="22"/>
        <v>0</v>
      </c>
      <c r="I41">
        <v>0</v>
      </c>
      <c r="J41" s="3">
        <f t="shared" si="23"/>
        <v>1</v>
      </c>
      <c r="K41" s="4">
        <v>4.54</v>
      </c>
    </row>
    <row r="42" spans="1:11" x14ac:dyDescent="0.4">
      <c r="A42" s="19"/>
      <c r="B42" s="19"/>
      <c r="C42" s="4">
        <v>4</v>
      </c>
      <c r="D42">
        <v>20</v>
      </c>
      <c r="E42">
        <f t="shared" si="21"/>
        <v>0</v>
      </c>
      <c r="F42">
        <v>0</v>
      </c>
      <c r="G42">
        <v>20</v>
      </c>
      <c r="H42">
        <f t="shared" si="22"/>
        <v>0</v>
      </c>
      <c r="I42">
        <v>0</v>
      </c>
      <c r="J42" s="3">
        <f t="shared" si="23"/>
        <v>1</v>
      </c>
      <c r="K42" s="4">
        <v>4.5199999999999996</v>
      </c>
    </row>
    <row r="43" spans="1:11" x14ac:dyDescent="0.4">
      <c r="A43" s="19"/>
      <c r="B43" s="19"/>
      <c r="C43" s="4">
        <v>5</v>
      </c>
      <c r="D43">
        <v>20</v>
      </c>
      <c r="E43">
        <f t="shared" si="21"/>
        <v>0</v>
      </c>
      <c r="F43">
        <v>0</v>
      </c>
      <c r="G43">
        <v>20</v>
      </c>
      <c r="H43">
        <f t="shared" si="22"/>
        <v>0</v>
      </c>
      <c r="I43">
        <v>0</v>
      </c>
      <c r="J43" s="3">
        <f t="shared" si="23"/>
        <v>1</v>
      </c>
      <c r="K43" s="4">
        <v>4.53</v>
      </c>
    </row>
    <row r="44" spans="1:11" x14ac:dyDescent="0.4">
      <c r="A44" s="20"/>
      <c r="B44" s="20"/>
      <c r="C44" s="6" t="s">
        <v>21</v>
      </c>
      <c r="D44" s="14" t="str">
        <f>TEXT(AVERAGE(D39:D43), "0.0") &amp; " ± " &amp; TEXT(_xlfn.STDEV.S(D39:D43), "0.0")</f>
        <v>20.0 ± 0.0</v>
      </c>
      <c r="E44" s="14" t="str">
        <f t="shared" ref="E44:K44" si="24">TEXT(AVERAGE(E39:E43), "0.0") &amp; " ± " &amp; TEXT(_xlfn.STDEV.S(E39:E43), "0.0")</f>
        <v>0.0 ± 0.0</v>
      </c>
      <c r="F44" s="14" t="str">
        <f t="shared" si="24"/>
        <v>0.0 ± 0.0</v>
      </c>
      <c r="G44" s="14" t="str">
        <f t="shared" si="24"/>
        <v>20.0 ± 0.0</v>
      </c>
      <c r="H44" s="14" t="str">
        <f t="shared" si="24"/>
        <v>0.0 ± 0.0</v>
      </c>
      <c r="I44" s="14" t="str">
        <f t="shared" si="24"/>
        <v>0.0 ± 0.0</v>
      </c>
      <c r="J44" s="14" t="str">
        <f>TEXT(AVERAGE(J39:J43), "0.0%") &amp; " ± " &amp; TEXT(_xlfn.STDEV.S(J39:J43), "0.0%")</f>
        <v>100.0% ± 0.0%</v>
      </c>
      <c r="K44" s="15" t="str">
        <f t="shared" si="24"/>
        <v>4.5 ± 0.0</v>
      </c>
    </row>
    <row r="45" spans="1:11" x14ac:dyDescent="0.4">
      <c r="D45" s="7"/>
      <c r="E45" s="7"/>
      <c r="F45" s="7"/>
      <c r="G45" s="7"/>
      <c r="H45" s="7"/>
      <c r="I45" s="7"/>
      <c r="J45" s="7"/>
      <c r="K45" s="7"/>
    </row>
    <row r="46" spans="1:11" x14ac:dyDescent="0.4">
      <c r="D46" s="7"/>
      <c r="E46" s="7"/>
      <c r="F46" s="7"/>
      <c r="G46" s="7"/>
      <c r="H46" s="7"/>
      <c r="I46" s="7"/>
      <c r="J46" s="7"/>
      <c r="K46" s="7"/>
    </row>
    <row r="47" spans="1:11" x14ac:dyDescent="0.4">
      <c r="D47" s="7"/>
      <c r="E47" s="7"/>
      <c r="F47" s="7"/>
      <c r="G47" s="7"/>
      <c r="H47" s="7"/>
      <c r="I47" s="7"/>
      <c r="J47" s="7"/>
      <c r="K47" s="7"/>
    </row>
  </sheetData>
  <mergeCells count="11">
    <mergeCell ref="A27:A44"/>
    <mergeCell ref="B27:B32"/>
    <mergeCell ref="B33:B38"/>
    <mergeCell ref="B39:B44"/>
    <mergeCell ref="B2:B3"/>
    <mergeCell ref="D2:F2"/>
    <mergeCell ref="G2:I2"/>
    <mergeCell ref="A4:A21"/>
    <mergeCell ref="B4:B9"/>
    <mergeCell ref="B10:B15"/>
    <mergeCell ref="B16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0CD30-59C2-4EC2-80C1-3346DDB8090E}">
  <dimension ref="A2:M59"/>
  <sheetViews>
    <sheetView zoomScale="115" zoomScaleNormal="115" workbookViewId="0">
      <selection activeCell="C9" sqref="C9"/>
    </sheetView>
  </sheetViews>
  <sheetFormatPr defaultRowHeight="14.6" x14ac:dyDescent="0.4"/>
  <cols>
    <col min="3" max="3" width="9.3828125" bestFit="1" customWidth="1"/>
    <col min="4" max="5" width="9.3046875" bestFit="1" customWidth="1"/>
    <col min="6" max="6" width="12.3046875" customWidth="1"/>
    <col min="7" max="7" width="9.3828125" customWidth="1"/>
  </cols>
  <sheetData>
    <row r="2" spans="1:13" x14ac:dyDescent="0.4">
      <c r="C2" s="16" t="s">
        <v>17</v>
      </c>
      <c r="D2" s="16"/>
      <c r="E2" s="16"/>
      <c r="F2" s="16"/>
      <c r="G2" s="9"/>
      <c r="H2" s="16" t="s">
        <v>18</v>
      </c>
      <c r="I2" s="16"/>
      <c r="J2" s="16"/>
      <c r="K2" s="16"/>
    </row>
    <row r="3" spans="1:13" x14ac:dyDescent="0.4">
      <c r="C3" t="s">
        <v>1</v>
      </c>
      <c r="D3" t="s">
        <v>2</v>
      </c>
      <c r="E3" t="s">
        <v>15</v>
      </c>
      <c r="F3" t="s">
        <v>4</v>
      </c>
      <c r="H3" t="s">
        <v>1</v>
      </c>
      <c r="I3" t="s">
        <v>2</v>
      </c>
      <c r="J3" t="s">
        <v>15</v>
      </c>
      <c r="K3" t="s">
        <v>4</v>
      </c>
    </row>
    <row r="4" spans="1:13" x14ac:dyDescent="0.4">
      <c r="A4" s="17">
        <v>7.8399999999999997E-3</v>
      </c>
      <c r="B4">
        <v>1</v>
      </c>
      <c r="C4">
        <v>15</v>
      </c>
      <c r="D4">
        <v>0</v>
      </c>
      <c r="E4">
        <v>5</v>
      </c>
      <c r="F4" s="10">
        <f>C4/$M$7</f>
        <v>0.75</v>
      </c>
      <c r="G4" s="7"/>
      <c r="H4" s="11"/>
      <c r="I4" s="11"/>
      <c r="J4" s="11"/>
      <c r="K4" s="12">
        <f>H4/$M$7</f>
        <v>0</v>
      </c>
    </row>
    <row r="5" spans="1:13" x14ac:dyDescent="0.4">
      <c r="A5" s="17"/>
      <c r="B5">
        <v>2</v>
      </c>
      <c r="C5">
        <v>15</v>
      </c>
      <c r="D5">
        <v>0</v>
      </c>
      <c r="E5">
        <v>5</v>
      </c>
      <c r="F5" s="10">
        <f>C5/$M$7</f>
        <v>0.75</v>
      </c>
      <c r="G5" s="7"/>
      <c r="H5" s="11"/>
      <c r="I5" s="11"/>
      <c r="J5" s="11"/>
      <c r="K5" s="12">
        <f>H5/$M$7</f>
        <v>0</v>
      </c>
    </row>
    <row r="6" spans="1:13" x14ac:dyDescent="0.4">
      <c r="A6" s="17"/>
      <c r="B6">
        <v>3</v>
      </c>
      <c r="C6">
        <v>15</v>
      </c>
      <c r="D6">
        <v>0</v>
      </c>
      <c r="E6">
        <v>5</v>
      </c>
      <c r="F6" s="10">
        <f>C6/$M$7</f>
        <v>0.75</v>
      </c>
      <c r="G6" s="7"/>
      <c r="H6" s="11"/>
      <c r="I6" s="11"/>
      <c r="J6" s="11"/>
      <c r="K6" s="12">
        <f>H6/$M$7</f>
        <v>0</v>
      </c>
      <c r="M6" t="s">
        <v>16</v>
      </c>
    </row>
    <row r="7" spans="1:13" x14ac:dyDescent="0.4">
      <c r="A7" s="17"/>
      <c r="B7">
        <v>4</v>
      </c>
      <c r="C7">
        <v>15</v>
      </c>
      <c r="D7">
        <v>0</v>
      </c>
      <c r="E7">
        <v>4</v>
      </c>
      <c r="F7" s="10">
        <f>C7/$M$7</f>
        <v>0.75</v>
      </c>
      <c r="G7" s="7"/>
      <c r="H7" s="11"/>
      <c r="I7" s="11"/>
      <c r="J7" s="11"/>
      <c r="K7" s="12">
        <f>H7/$M$7</f>
        <v>0</v>
      </c>
      <c r="M7">
        <v>20</v>
      </c>
    </row>
    <row r="8" spans="1:13" x14ac:dyDescent="0.4">
      <c r="A8" s="17"/>
      <c r="B8">
        <v>5</v>
      </c>
      <c r="C8">
        <v>15</v>
      </c>
      <c r="D8">
        <v>0</v>
      </c>
      <c r="E8">
        <v>5</v>
      </c>
      <c r="F8" s="10">
        <f>C8/$M$7</f>
        <v>0.75</v>
      </c>
      <c r="G8" s="7"/>
      <c r="H8" s="11"/>
      <c r="I8" s="11"/>
      <c r="J8" s="11"/>
      <c r="K8" s="12">
        <f>H8/$M$7</f>
        <v>0</v>
      </c>
    </row>
    <row r="9" spans="1:13" x14ac:dyDescent="0.4">
      <c r="B9" t="s">
        <v>7</v>
      </c>
      <c r="C9" s="7" t="str">
        <f>TEXT(AVERAGE(C4:C8), "0.0") &amp; " ± " &amp; TEXT(_xlfn.STDEV.S(C4:C8), "0.0")</f>
        <v>15.0 ± 0.0</v>
      </c>
      <c r="D9" s="7" t="str">
        <f t="shared" ref="D9:E9" si="0">TEXT(AVERAGE(D4:D8), "0.0") &amp; " ± " &amp; TEXT(_xlfn.STDEV.S(D4:D8), "0.0")</f>
        <v>0.0 ± 0.0</v>
      </c>
      <c r="E9" s="7" t="str">
        <f t="shared" si="0"/>
        <v>4.8 ± 0.4</v>
      </c>
      <c r="F9" s="10" t="str">
        <f>TEXT(AVERAGE(F4:F8), "0.0%") &amp; " ± " &amp; TEXT(_xlfn.STDEV.S(F4:F8), "0.0%")</f>
        <v>75.0% ± 0.0%</v>
      </c>
      <c r="G9" s="7"/>
      <c r="H9" s="7" t="e">
        <f>TEXT(AVERAGE(H4:H8), "0.0") &amp; " ± " &amp; TEXT(_xlfn.STDEV.S(H4:H8), "0.0")</f>
        <v>#DIV/0!</v>
      </c>
      <c r="I9" s="7" t="e">
        <f t="shared" ref="I9" si="1">TEXT(AVERAGE(I4:I8), "0.0") &amp; " ± " &amp; TEXT(_xlfn.STDEV.S(I4:I8), "0.0")</f>
        <v>#DIV/0!</v>
      </c>
      <c r="J9" s="7" t="e">
        <f t="shared" ref="J9" si="2">TEXT(AVERAGE(J4:J8), "0.0") &amp; " ± " &amp; TEXT(_xlfn.STDEV.S(J4:J8), "0.0")</f>
        <v>#DIV/0!</v>
      </c>
      <c r="K9" s="10" t="str">
        <f>TEXT(AVERAGE(K4:K8), "0.0%") &amp; " ± " &amp; TEXT(_xlfn.STDEV.S(K4:K8), "0.0%")</f>
        <v>0.0% ± 0.0%</v>
      </c>
    </row>
    <row r="12" spans="1:13" x14ac:dyDescent="0.4">
      <c r="C12" s="16" t="s">
        <v>17</v>
      </c>
      <c r="D12" s="16"/>
      <c r="E12" s="16"/>
      <c r="F12" s="16"/>
      <c r="G12" s="9"/>
      <c r="H12" s="16" t="s">
        <v>18</v>
      </c>
      <c r="I12" s="16"/>
      <c r="J12" s="16"/>
      <c r="K12" s="16"/>
    </row>
    <row r="13" spans="1:13" x14ac:dyDescent="0.4">
      <c r="C13" t="s">
        <v>1</v>
      </c>
      <c r="D13" t="s">
        <v>2</v>
      </c>
      <c r="E13" t="s">
        <v>15</v>
      </c>
      <c r="F13" t="s">
        <v>4</v>
      </c>
      <c r="H13" t="s">
        <v>1</v>
      </c>
      <c r="I13" t="s">
        <v>2</v>
      </c>
      <c r="J13" t="s">
        <v>15</v>
      </c>
      <c r="K13" t="s">
        <v>4</v>
      </c>
    </row>
    <row r="14" spans="1:13" x14ac:dyDescent="0.4">
      <c r="A14" s="17">
        <v>1.5689999999999999E-2</v>
      </c>
      <c r="B14">
        <v>1</v>
      </c>
      <c r="C14" s="11"/>
      <c r="D14" s="11"/>
      <c r="E14" s="11"/>
      <c r="F14" s="12">
        <f>C14/$M$7</f>
        <v>0</v>
      </c>
      <c r="G14" s="7"/>
      <c r="H14" s="11"/>
      <c r="I14" s="11"/>
      <c r="J14" s="11"/>
      <c r="K14" s="12">
        <f>H14/$M$7</f>
        <v>0</v>
      </c>
    </row>
    <row r="15" spans="1:13" x14ac:dyDescent="0.4">
      <c r="A15" s="17"/>
      <c r="B15">
        <v>2</v>
      </c>
      <c r="C15" s="11"/>
      <c r="D15" s="11"/>
      <c r="E15" s="11"/>
      <c r="F15" s="12">
        <f>C15/$M$7</f>
        <v>0</v>
      </c>
      <c r="G15" s="7"/>
      <c r="H15" s="11"/>
      <c r="I15" s="11"/>
      <c r="J15" s="11"/>
      <c r="K15" s="12">
        <f>H15/$M$7</f>
        <v>0</v>
      </c>
    </row>
    <row r="16" spans="1:13" x14ac:dyDescent="0.4">
      <c r="A16" s="17"/>
      <c r="B16">
        <v>3</v>
      </c>
      <c r="C16" s="11"/>
      <c r="D16" s="11"/>
      <c r="E16" s="11"/>
      <c r="F16" s="12">
        <f>C16/$M$7</f>
        <v>0</v>
      </c>
      <c r="G16" s="7"/>
      <c r="H16" s="11"/>
      <c r="I16" s="11"/>
      <c r="J16" s="11"/>
      <c r="K16" s="12">
        <f>H16/$M$7</f>
        <v>0</v>
      </c>
    </row>
    <row r="17" spans="1:11" x14ac:dyDescent="0.4">
      <c r="A17" s="17"/>
      <c r="B17">
        <v>4</v>
      </c>
      <c r="C17" s="11"/>
      <c r="D17" s="11"/>
      <c r="E17" s="11"/>
      <c r="F17" s="12">
        <f>C17/$M$7</f>
        <v>0</v>
      </c>
      <c r="G17" s="7"/>
      <c r="H17" s="11"/>
      <c r="I17" s="11"/>
      <c r="J17" s="11"/>
      <c r="K17" s="12">
        <f>H17/$M$7</f>
        <v>0</v>
      </c>
    </row>
    <row r="18" spans="1:11" x14ac:dyDescent="0.4">
      <c r="A18" s="17"/>
      <c r="B18">
        <v>5</v>
      </c>
      <c r="C18" s="11"/>
      <c r="D18" s="11"/>
      <c r="E18" s="11"/>
      <c r="F18" s="12">
        <f>C18/$M$7</f>
        <v>0</v>
      </c>
      <c r="G18" s="7"/>
      <c r="H18" s="11"/>
      <c r="I18" s="11"/>
      <c r="J18" s="11"/>
      <c r="K18" s="12">
        <f>H18/$M$7</f>
        <v>0</v>
      </c>
    </row>
    <row r="19" spans="1:11" x14ac:dyDescent="0.4">
      <c r="B19" t="s">
        <v>7</v>
      </c>
      <c r="C19" s="7" t="e">
        <f>TEXT(AVERAGE(C14:C18), "0.0") &amp; " ± " &amp; TEXT(_xlfn.STDEV.S(C14:C18), "0.0")</f>
        <v>#DIV/0!</v>
      </c>
      <c r="D19" s="7" t="e">
        <f t="shared" ref="D19" si="3">TEXT(AVERAGE(D14:D18), "0.0") &amp; " ± " &amp; TEXT(_xlfn.STDEV.S(D14:D18), "0.0")</f>
        <v>#DIV/0!</v>
      </c>
      <c r="E19" s="7" t="e">
        <f t="shared" ref="E19" si="4">TEXT(AVERAGE(E14:E18), "0.0") &amp; " ± " &amp; TEXT(_xlfn.STDEV.S(E14:E18), "0.0")</f>
        <v>#DIV/0!</v>
      </c>
      <c r="F19" s="10" t="str">
        <f>TEXT(AVERAGE(F14:F18), "0.0%") &amp; " ± " &amp; TEXT(_xlfn.STDEV.S(F14:F18), "0.0%")</f>
        <v>0.0% ± 0.0%</v>
      </c>
      <c r="G19" s="7"/>
      <c r="H19" s="7" t="e">
        <f>TEXT(AVERAGE(H14:H18), "0.0") &amp; " ± " &amp; TEXT(_xlfn.STDEV.S(H14:H18), "0.0")</f>
        <v>#DIV/0!</v>
      </c>
      <c r="I19" s="7" t="e">
        <f t="shared" ref="I19" si="5">TEXT(AVERAGE(I14:I18), "0.0") &amp; " ± " &amp; TEXT(_xlfn.STDEV.S(I14:I18), "0.0")</f>
        <v>#DIV/0!</v>
      </c>
      <c r="J19" s="7" t="e">
        <f t="shared" ref="J19" si="6">TEXT(AVERAGE(J14:J18), "0.0") &amp; " ± " &amp; TEXT(_xlfn.STDEV.S(J14:J18), "0.0")</f>
        <v>#DIV/0!</v>
      </c>
      <c r="K19" s="10" t="str">
        <f>TEXT(AVERAGE(K14:K18), "0.0%") &amp; " ± " &amp; TEXT(_xlfn.STDEV.S(K14:K18), "0.0%")</f>
        <v>0.0% ± 0.0%</v>
      </c>
    </row>
    <row r="22" spans="1:11" x14ac:dyDescent="0.4">
      <c r="C22" s="16" t="s">
        <v>17</v>
      </c>
      <c r="D22" s="16"/>
      <c r="E22" s="16"/>
      <c r="F22" s="16"/>
      <c r="G22" s="9"/>
      <c r="H22" s="16" t="s">
        <v>18</v>
      </c>
      <c r="I22" s="16"/>
      <c r="J22" s="16"/>
      <c r="K22" s="16"/>
    </row>
    <row r="23" spans="1:11" x14ac:dyDescent="0.4">
      <c r="C23" t="s">
        <v>1</v>
      </c>
      <c r="D23" t="s">
        <v>2</v>
      </c>
      <c r="E23" t="s">
        <v>15</v>
      </c>
      <c r="F23" t="s">
        <v>4</v>
      </c>
      <c r="H23" t="s">
        <v>1</v>
      </c>
      <c r="I23" t="s">
        <v>2</v>
      </c>
      <c r="J23" t="s">
        <v>15</v>
      </c>
      <c r="K23" t="s">
        <v>4</v>
      </c>
    </row>
    <row r="24" spans="1:11" x14ac:dyDescent="0.4">
      <c r="A24" s="17">
        <v>3.1370000000000002E-2</v>
      </c>
      <c r="B24">
        <v>1</v>
      </c>
      <c r="C24" s="11"/>
      <c r="D24" s="11"/>
      <c r="E24" s="11"/>
      <c r="F24" s="12">
        <f>C24/$M$7</f>
        <v>0</v>
      </c>
      <c r="G24" s="7"/>
      <c r="H24" s="11"/>
      <c r="I24" s="11"/>
      <c r="J24" s="11"/>
      <c r="K24" s="12">
        <f>H24/$M$7</f>
        <v>0</v>
      </c>
    </row>
    <row r="25" spans="1:11" x14ac:dyDescent="0.4">
      <c r="A25" s="17"/>
      <c r="B25">
        <v>2</v>
      </c>
      <c r="C25" s="11"/>
      <c r="D25" s="11"/>
      <c r="E25" s="11"/>
      <c r="F25" s="12">
        <f>C25/$M$7</f>
        <v>0</v>
      </c>
      <c r="G25" s="7"/>
      <c r="H25" s="11"/>
      <c r="I25" s="11"/>
      <c r="J25" s="11"/>
      <c r="K25" s="12">
        <f>H25/$M$7</f>
        <v>0</v>
      </c>
    </row>
    <row r="26" spans="1:11" x14ac:dyDescent="0.4">
      <c r="A26" s="17"/>
      <c r="B26">
        <v>3</v>
      </c>
      <c r="C26" s="11"/>
      <c r="D26" s="11"/>
      <c r="E26" s="11"/>
      <c r="F26" s="12">
        <f>C26/$M$7</f>
        <v>0</v>
      </c>
      <c r="G26" s="7"/>
      <c r="H26" s="11"/>
      <c r="I26" s="11"/>
      <c r="J26" s="11"/>
      <c r="K26" s="12">
        <f>H26/$M$7</f>
        <v>0</v>
      </c>
    </row>
    <row r="27" spans="1:11" x14ac:dyDescent="0.4">
      <c r="A27" s="17"/>
      <c r="B27">
        <v>4</v>
      </c>
      <c r="C27" s="11"/>
      <c r="D27" s="11"/>
      <c r="E27" s="11"/>
      <c r="F27" s="12">
        <f>C27/$M$7</f>
        <v>0</v>
      </c>
      <c r="G27" s="7"/>
      <c r="H27" s="11"/>
      <c r="I27" s="11"/>
      <c r="J27" s="11"/>
      <c r="K27" s="12">
        <f>H27/$M$7</f>
        <v>0</v>
      </c>
    </row>
    <row r="28" spans="1:11" x14ac:dyDescent="0.4">
      <c r="A28" s="17"/>
      <c r="B28">
        <v>5</v>
      </c>
      <c r="C28" s="11"/>
      <c r="D28" s="11"/>
      <c r="E28" s="11"/>
      <c r="F28" s="12">
        <f>C28/$M$7</f>
        <v>0</v>
      </c>
      <c r="G28" s="7"/>
      <c r="H28" s="11"/>
      <c r="I28" s="11"/>
      <c r="J28" s="11"/>
      <c r="K28" s="12">
        <f>H28/$M$7</f>
        <v>0</v>
      </c>
    </row>
    <row r="29" spans="1:11" x14ac:dyDescent="0.4">
      <c r="B29" t="s">
        <v>7</v>
      </c>
      <c r="C29" s="7" t="e">
        <f>TEXT(AVERAGE(C24:C28), "0.0") &amp; " ± " &amp; TEXT(_xlfn.STDEV.S(C24:C28), "0.0")</f>
        <v>#DIV/0!</v>
      </c>
      <c r="D29" s="7" t="e">
        <f t="shared" ref="D29" si="7">TEXT(AVERAGE(D24:D28), "0.0") &amp; " ± " &amp; TEXT(_xlfn.STDEV.S(D24:D28), "0.0")</f>
        <v>#DIV/0!</v>
      </c>
      <c r="E29" s="7" t="e">
        <f t="shared" ref="E29" si="8">TEXT(AVERAGE(E24:E28), "0.0") &amp; " ± " &amp; TEXT(_xlfn.STDEV.S(E24:E28), "0.0")</f>
        <v>#DIV/0!</v>
      </c>
      <c r="F29" s="10" t="str">
        <f>TEXT(AVERAGE(F24:F28), "0.0%") &amp; " ± " &amp; TEXT(_xlfn.STDEV.S(F24:F28), "0.0%")</f>
        <v>0.0% ± 0.0%</v>
      </c>
      <c r="G29" s="7"/>
      <c r="H29" s="7" t="e">
        <f>TEXT(AVERAGE(H24:H28), "0.0") &amp; " ± " &amp; TEXT(_xlfn.STDEV.S(H24:H28), "0.0")</f>
        <v>#DIV/0!</v>
      </c>
      <c r="I29" s="7" t="e">
        <f t="shared" ref="I29" si="9">TEXT(AVERAGE(I24:I28), "0.0") &amp; " ± " &amp; TEXT(_xlfn.STDEV.S(I24:I28), "0.0")</f>
        <v>#DIV/0!</v>
      </c>
      <c r="J29" s="7" t="e">
        <f t="shared" ref="J29" si="10">TEXT(AVERAGE(J24:J28), "0.0") &amp; " ± " &amp; TEXT(_xlfn.STDEV.S(J24:J28), "0.0")</f>
        <v>#DIV/0!</v>
      </c>
      <c r="K29" s="10" t="str">
        <f>TEXT(AVERAGE(K24:K28), "0.0%") &amp; " ± " &amp; TEXT(_xlfn.STDEV.S(K24:K28), "0.0%")</f>
        <v>0.0% ± 0.0%</v>
      </c>
    </row>
    <row r="32" spans="1:11" x14ac:dyDescent="0.4">
      <c r="C32" s="16" t="s">
        <v>19</v>
      </c>
      <c r="D32" s="16"/>
      <c r="E32" s="16"/>
      <c r="F32" s="16"/>
      <c r="G32" s="9"/>
      <c r="H32" s="16" t="s">
        <v>20</v>
      </c>
      <c r="I32" s="16"/>
      <c r="J32" s="16"/>
      <c r="K32" s="16"/>
    </row>
    <row r="33" spans="1:11" x14ac:dyDescent="0.4">
      <c r="C33" t="s">
        <v>1</v>
      </c>
      <c r="D33" t="s">
        <v>2</v>
      </c>
      <c r="E33" t="s">
        <v>15</v>
      </c>
      <c r="F33" t="s">
        <v>4</v>
      </c>
      <c r="H33" t="s">
        <v>1</v>
      </c>
      <c r="I33" t="s">
        <v>2</v>
      </c>
      <c r="J33" t="s">
        <v>15</v>
      </c>
      <c r="K33" t="s">
        <v>4</v>
      </c>
    </row>
    <row r="34" spans="1:11" x14ac:dyDescent="0.4">
      <c r="A34" s="17">
        <v>7.8399999999999997E-3</v>
      </c>
      <c r="B34">
        <v>1</v>
      </c>
      <c r="C34">
        <v>20</v>
      </c>
      <c r="D34">
        <v>0</v>
      </c>
      <c r="E34">
        <v>0</v>
      </c>
      <c r="F34" s="10">
        <f>C34/$M$7</f>
        <v>1</v>
      </c>
      <c r="G34" s="7"/>
      <c r="H34">
        <v>18</v>
      </c>
      <c r="I34">
        <v>0</v>
      </c>
      <c r="J34">
        <v>2</v>
      </c>
      <c r="K34" s="10">
        <f>H34/$M$7</f>
        <v>0.9</v>
      </c>
    </row>
    <row r="35" spans="1:11" x14ac:dyDescent="0.4">
      <c r="A35" s="17"/>
      <c r="B35">
        <v>2</v>
      </c>
      <c r="C35">
        <v>20</v>
      </c>
      <c r="D35">
        <v>0</v>
      </c>
      <c r="E35">
        <v>0</v>
      </c>
      <c r="F35" s="10">
        <f>C35/$M$7</f>
        <v>1</v>
      </c>
      <c r="G35" s="7"/>
      <c r="H35">
        <v>18</v>
      </c>
      <c r="I35">
        <v>0</v>
      </c>
      <c r="J35">
        <v>2</v>
      </c>
      <c r="K35" s="10">
        <f>H35/$M$7</f>
        <v>0.9</v>
      </c>
    </row>
    <row r="36" spans="1:11" x14ac:dyDescent="0.4">
      <c r="A36" s="17"/>
      <c r="B36">
        <v>3</v>
      </c>
      <c r="C36">
        <v>20</v>
      </c>
      <c r="D36">
        <v>0</v>
      </c>
      <c r="E36">
        <v>0</v>
      </c>
      <c r="F36" s="10">
        <f>C36/$M$7</f>
        <v>1</v>
      </c>
      <c r="G36" s="7"/>
      <c r="H36">
        <v>18</v>
      </c>
      <c r="I36">
        <v>0</v>
      </c>
      <c r="J36">
        <v>2</v>
      </c>
      <c r="K36" s="10">
        <f>H36/$M$7</f>
        <v>0.9</v>
      </c>
    </row>
    <row r="37" spans="1:11" x14ac:dyDescent="0.4">
      <c r="A37" s="17"/>
      <c r="B37">
        <v>4</v>
      </c>
      <c r="C37">
        <v>20</v>
      </c>
      <c r="D37">
        <v>0</v>
      </c>
      <c r="E37">
        <v>0</v>
      </c>
      <c r="F37" s="10">
        <f>C37/$M$7</f>
        <v>1</v>
      </c>
      <c r="G37" s="7"/>
      <c r="H37">
        <v>18</v>
      </c>
      <c r="I37">
        <v>0</v>
      </c>
      <c r="J37">
        <v>2</v>
      </c>
      <c r="K37" s="10">
        <f>H37/$M$7</f>
        <v>0.9</v>
      </c>
    </row>
    <row r="38" spans="1:11" x14ac:dyDescent="0.4">
      <c r="A38" s="17"/>
      <c r="B38">
        <v>5</v>
      </c>
      <c r="C38">
        <v>20</v>
      </c>
      <c r="D38">
        <v>0</v>
      </c>
      <c r="E38">
        <v>0</v>
      </c>
      <c r="F38" s="10">
        <f>C38/$M$7</f>
        <v>1</v>
      </c>
      <c r="G38" s="7"/>
      <c r="H38">
        <v>18</v>
      </c>
      <c r="I38">
        <v>0</v>
      </c>
      <c r="J38">
        <v>2</v>
      </c>
      <c r="K38" s="13">
        <f>H38/$M$7</f>
        <v>0.9</v>
      </c>
    </row>
    <row r="39" spans="1:11" x14ac:dyDescent="0.4">
      <c r="B39" t="s">
        <v>7</v>
      </c>
      <c r="C39" s="7" t="str">
        <f>TEXT(AVERAGE(C34:C38), "0.0") &amp; " ± " &amp; TEXT(_xlfn.STDEV.S(C34:C38), "0.0")</f>
        <v>20.0 ± 0.0</v>
      </c>
      <c r="D39" s="7" t="str">
        <f t="shared" ref="D39" si="11">TEXT(AVERAGE(D34:D38), "0.0") &amp; " ± " &amp; TEXT(_xlfn.STDEV.S(D34:D38), "0.0")</f>
        <v>0.0 ± 0.0</v>
      </c>
      <c r="E39" s="7" t="str">
        <f t="shared" ref="E39" si="12">TEXT(AVERAGE(E34:E38), "0.0") &amp; " ± " &amp; TEXT(_xlfn.STDEV.S(E34:E38), "0.0")</f>
        <v>0.0 ± 0.0</v>
      </c>
      <c r="F39" s="10" t="str">
        <f>TEXT(AVERAGE(F34:F38), "0.0%") &amp; " ± " &amp; TEXT(_xlfn.STDEV.S(F34:F38), "0.0%")</f>
        <v>100.0% ± 0.0%</v>
      </c>
      <c r="G39" s="7"/>
      <c r="H39" s="7" t="str">
        <f>TEXT(AVERAGE(H34:H38), "0.0") &amp; " ± " &amp; TEXT(_xlfn.STDEV.S(H34:H38), "0.0")</f>
        <v>18.0 ± 0.0</v>
      </c>
      <c r="I39" s="7" t="str">
        <f t="shared" ref="I39" si="13">TEXT(AVERAGE(I34:I38), "0.0") &amp; " ± " &amp; TEXT(_xlfn.STDEV.S(I34:I38), "0.0")</f>
        <v>0.0 ± 0.0</v>
      </c>
      <c r="J39" s="7" t="str">
        <f t="shared" ref="J39" si="14">TEXT(AVERAGE(J34:J38), "0.0") &amp; " ± " &amp; TEXT(_xlfn.STDEV.S(J34:J38), "0.0")</f>
        <v>2.0 ± 0.0</v>
      </c>
      <c r="K39" s="10" t="str">
        <f>TEXT(AVERAGE(K34:K38), "0.0%") &amp; " ± " &amp; TEXT(_xlfn.STDEV.S(K34:K38), "0.0%")</f>
        <v>90.0% ± 0.0%</v>
      </c>
    </row>
    <row r="42" spans="1:11" x14ac:dyDescent="0.4">
      <c r="C42" s="16" t="s">
        <v>19</v>
      </c>
      <c r="D42" s="16"/>
      <c r="E42" s="16"/>
      <c r="F42" s="16"/>
      <c r="G42" s="9"/>
      <c r="H42" s="16" t="s">
        <v>20</v>
      </c>
      <c r="I42" s="16"/>
      <c r="J42" s="16"/>
      <c r="K42" s="16"/>
    </row>
    <row r="43" spans="1:11" x14ac:dyDescent="0.4">
      <c r="C43" t="s">
        <v>1</v>
      </c>
      <c r="D43" t="s">
        <v>2</v>
      </c>
      <c r="E43" t="s">
        <v>15</v>
      </c>
      <c r="F43" t="s">
        <v>4</v>
      </c>
      <c r="H43" t="s">
        <v>1</v>
      </c>
      <c r="I43" t="s">
        <v>2</v>
      </c>
      <c r="J43" t="s">
        <v>15</v>
      </c>
      <c r="K43" t="s">
        <v>4</v>
      </c>
    </row>
    <row r="44" spans="1:11" x14ac:dyDescent="0.4">
      <c r="A44" s="17">
        <v>1.5689999999999999E-2</v>
      </c>
      <c r="B44">
        <v>1</v>
      </c>
      <c r="C44">
        <v>20</v>
      </c>
      <c r="D44">
        <v>0</v>
      </c>
      <c r="E44">
        <v>0</v>
      </c>
      <c r="F44" s="10">
        <f>C44/$M$7</f>
        <v>1</v>
      </c>
      <c r="G44" s="7"/>
      <c r="H44">
        <v>10</v>
      </c>
      <c r="I44">
        <v>0</v>
      </c>
      <c r="J44">
        <v>10</v>
      </c>
      <c r="K44" s="10">
        <f>H44/$M$7</f>
        <v>0.5</v>
      </c>
    </row>
    <row r="45" spans="1:11" x14ac:dyDescent="0.4">
      <c r="A45" s="17"/>
      <c r="B45">
        <v>2</v>
      </c>
      <c r="C45">
        <v>20</v>
      </c>
      <c r="D45">
        <v>0</v>
      </c>
      <c r="E45">
        <v>0</v>
      </c>
      <c r="F45" s="13">
        <f>C45/$M$7</f>
        <v>1</v>
      </c>
      <c r="G45" s="7"/>
      <c r="H45">
        <v>11</v>
      </c>
      <c r="I45">
        <v>0</v>
      </c>
      <c r="J45">
        <v>9</v>
      </c>
      <c r="K45" s="10">
        <f>H45/$M$7</f>
        <v>0.55000000000000004</v>
      </c>
    </row>
    <row r="46" spans="1:11" x14ac:dyDescent="0.4">
      <c r="A46" s="17"/>
      <c r="B46">
        <v>3</v>
      </c>
      <c r="C46">
        <v>19</v>
      </c>
      <c r="D46">
        <v>0</v>
      </c>
      <c r="E46">
        <v>1</v>
      </c>
      <c r="F46" s="13">
        <f>C46/$M$7</f>
        <v>0.95</v>
      </c>
      <c r="G46" s="7"/>
      <c r="H46">
        <v>11</v>
      </c>
      <c r="I46">
        <v>0</v>
      </c>
      <c r="J46">
        <v>9</v>
      </c>
      <c r="K46" s="10">
        <f>H46/$M$7</f>
        <v>0.55000000000000004</v>
      </c>
    </row>
    <row r="47" spans="1:11" x14ac:dyDescent="0.4">
      <c r="A47" s="17"/>
      <c r="B47">
        <v>4</v>
      </c>
      <c r="C47">
        <v>20</v>
      </c>
      <c r="D47">
        <v>0</v>
      </c>
      <c r="E47">
        <v>0</v>
      </c>
      <c r="F47" s="10">
        <f>C47/$M$7</f>
        <v>1</v>
      </c>
      <c r="G47" s="7"/>
      <c r="H47">
        <v>11</v>
      </c>
      <c r="I47">
        <v>0</v>
      </c>
      <c r="J47">
        <v>9</v>
      </c>
      <c r="K47" s="10">
        <f>H47/$M$7</f>
        <v>0.55000000000000004</v>
      </c>
    </row>
    <row r="48" spans="1:11" x14ac:dyDescent="0.4">
      <c r="A48" s="17"/>
      <c r="B48">
        <v>5</v>
      </c>
      <c r="C48">
        <v>20</v>
      </c>
      <c r="D48">
        <v>0</v>
      </c>
      <c r="E48">
        <v>0</v>
      </c>
      <c r="F48" s="10">
        <f>C48/$M$7</f>
        <v>1</v>
      </c>
      <c r="G48" s="7"/>
      <c r="H48">
        <v>11</v>
      </c>
      <c r="I48">
        <v>0</v>
      </c>
      <c r="J48">
        <v>9</v>
      </c>
      <c r="K48" s="10">
        <f>H48/$M$7</f>
        <v>0.55000000000000004</v>
      </c>
    </row>
    <row r="49" spans="1:11" x14ac:dyDescent="0.4">
      <c r="B49" t="s">
        <v>7</v>
      </c>
      <c r="C49" s="7" t="str">
        <f>TEXT(AVERAGE(C44:C48), "0.0") &amp; " ± " &amp; TEXT(_xlfn.STDEV.S(C44:C48), "0.0")</f>
        <v>19.8 ± 0.4</v>
      </c>
      <c r="D49" s="7" t="str">
        <f t="shared" ref="D49" si="15">TEXT(AVERAGE(D44:D48), "0.0") &amp; " ± " &amp; TEXT(_xlfn.STDEV.S(D44:D48), "0.0")</f>
        <v>0.0 ± 0.0</v>
      </c>
      <c r="E49" s="7" t="str">
        <f t="shared" ref="E49" si="16">TEXT(AVERAGE(E44:E48), "0.0") &amp; " ± " &amp; TEXT(_xlfn.STDEV.S(E44:E48), "0.0")</f>
        <v>0.2 ± 0.4</v>
      </c>
      <c r="F49" s="10" t="str">
        <f>TEXT(AVERAGE(F44:F48), "0.0%") &amp; " ± " &amp; TEXT(_xlfn.STDEV.S(F44:F48), "0.0%")</f>
        <v>99.0% ± 2.2%</v>
      </c>
      <c r="G49" s="7"/>
      <c r="H49" s="7" t="str">
        <f>TEXT(AVERAGE(H44:H48), "0.0") &amp; " ± " &amp; TEXT(_xlfn.STDEV.S(H44:H48), "0.0")</f>
        <v>10.8 ± 0.4</v>
      </c>
      <c r="I49" s="7" t="str">
        <f t="shared" ref="I49" si="17">TEXT(AVERAGE(I44:I48), "0.0") &amp; " ± " &amp; TEXT(_xlfn.STDEV.S(I44:I48), "0.0")</f>
        <v>0.0 ± 0.0</v>
      </c>
      <c r="J49" s="7" t="str">
        <f t="shared" ref="J49" si="18">TEXT(AVERAGE(J44:J48), "0.0") &amp; " ± " &amp; TEXT(_xlfn.STDEV.S(J44:J48), "0.0")</f>
        <v>9.2 ± 0.4</v>
      </c>
      <c r="K49" s="10" t="str">
        <f>TEXT(AVERAGE(K44:K48), "0.0%") &amp; " ± " &amp; TEXT(_xlfn.STDEV.S(K44:K48), "0.0%")</f>
        <v>54.0% ± 2.2%</v>
      </c>
    </row>
    <row r="52" spans="1:11" x14ac:dyDescent="0.4">
      <c r="C52" s="16" t="s">
        <v>19</v>
      </c>
      <c r="D52" s="16"/>
      <c r="E52" s="16"/>
      <c r="F52" s="16"/>
      <c r="G52" s="9"/>
      <c r="H52" s="16" t="s">
        <v>20</v>
      </c>
      <c r="I52" s="16"/>
      <c r="J52" s="16"/>
      <c r="K52" s="16"/>
    </row>
    <row r="53" spans="1:11" x14ac:dyDescent="0.4">
      <c r="C53" t="s">
        <v>1</v>
      </c>
      <c r="D53" t="s">
        <v>2</v>
      </c>
      <c r="E53" t="s">
        <v>15</v>
      </c>
      <c r="F53" t="s">
        <v>4</v>
      </c>
      <c r="H53" t="s">
        <v>1</v>
      </c>
      <c r="I53" t="s">
        <v>2</v>
      </c>
      <c r="J53" t="s">
        <v>15</v>
      </c>
      <c r="K53" t="s">
        <v>4</v>
      </c>
    </row>
    <row r="54" spans="1:11" x14ac:dyDescent="0.4">
      <c r="A54" s="17">
        <v>3.1370000000000002E-2</v>
      </c>
      <c r="B54">
        <v>1</v>
      </c>
      <c r="C54">
        <v>19</v>
      </c>
      <c r="D54">
        <v>0</v>
      </c>
      <c r="E54">
        <v>1</v>
      </c>
      <c r="F54" s="10">
        <f>C54/$M$7</f>
        <v>0.95</v>
      </c>
      <c r="G54" s="7"/>
      <c r="H54" s="11"/>
      <c r="I54" s="11"/>
      <c r="J54" s="11"/>
      <c r="K54" s="12">
        <f>H54/$M$7</f>
        <v>0</v>
      </c>
    </row>
    <row r="55" spans="1:11" x14ac:dyDescent="0.4">
      <c r="A55" s="17"/>
      <c r="B55">
        <v>2</v>
      </c>
      <c r="C55">
        <v>19</v>
      </c>
      <c r="D55">
        <v>0</v>
      </c>
      <c r="E55">
        <v>1</v>
      </c>
      <c r="F55" s="10">
        <f>C55/$M$7</f>
        <v>0.95</v>
      </c>
      <c r="G55" s="7"/>
      <c r="H55" s="11"/>
      <c r="I55" s="11"/>
      <c r="J55" s="11"/>
      <c r="K55" s="12">
        <f>H55/$M$7</f>
        <v>0</v>
      </c>
    </row>
    <row r="56" spans="1:11" x14ac:dyDescent="0.4">
      <c r="A56" s="17"/>
      <c r="B56">
        <v>3</v>
      </c>
      <c r="C56">
        <v>19</v>
      </c>
      <c r="D56">
        <v>0</v>
      </c>
      <c r="E56">
        <v>1</v>
      </c>
      <c r="F56" s="10">
        <f>C56/$M$7</f>
        <v>0.95</v>
      </c>
      <c r="G56" s="7"/>
      <c r="H56" s="11"/>
      <c r="I56" s="11"/>
      <c r="J56" s="11"/>
      <c r="K56" s="12">
        <f>H56/$M$7</f>
        <v>0</v>
      </c>
    </row>
    <row r="57" spans="1:11" x14ac:dyDescent="0.4">
      <c r="A57" s="17"/>
      <c r="B57">
        <v>4</v>
      </c>
      <c r="C57">
        <v>19</v>
      </c>
      <c r="D57">
        <v>0</v>
      </c>
      <c r="E57">
        <v>1</v>
      </c>
      <c r="F57" s="10">
        <f>C57/$M$7</f>
        <v>0.95</v>
      </c>
      <c r="G57" s="7"/>
      <c r="H57" s="11"/>
      <c r="I57" s="11"/>
      <c r="J57" s="11"/>
      <c r="K57" s="12">
        <f>H57/$M$7</f>
        <v>0</v>
      </c>
    </row>
    <row r="58" spans="1:11" x14ac:dyDescent="0.4">
      <c r="A58" s="17"/>
      <c r="B58">
        <v>5</v>
      </c>
      <c r="C58">
        <v>19</v>
      </c>
      <c r="D58">
        <v>0</v>
      </c>
      <c r="E58">
        <v>1</v>
      </c>
      <c r="F58" s="10">
        <f>C58/$M$7</f>
        <v>0.95</v>
      </c>
      <c r="G58" s="7"/>
      <c r="H58" s="11"/>
      <c r="I58" s="11"/>
      <c r="J58" s="11"/>
      <c r="K58" s="12">
        <f>H58/$M$7</f>
        <v>0</v>
      </c>
    </row>
    <row r="59" spans="1:11" x14ac:dyDescent="0.4">
      <c r="B59" t="s">
        <v>7</v>
      </c>
      <c r="C59" s="7" t="str">
        <f>TEXT(AVERAGE(C54:C58), "0.0") &amp; " ± " &amp; TEXT(_xlfn.STDEV.S(C54:C58), "0.0")</f>
        <v>19.0 ± 0.0</v>
      </c>
      <c r="D59" s="7" t="str">
        <f t="shared" ref="D59" si="19">TEXT(AVERAGE(D54:D58), "0.0") &amp; " ± " &amp; TEXT(_xlfn.STDEV.S(D54:D58), "0.0")</f>
        <v>0.0 ± 0.0</v>
      </c>
      <c r="E59" s="7" t="str">
        <f t="shared" ref="E59" si="20">TEXT(AVERAGE(E54:E58), "0.0") &amp; " ± " &amp; TEXT(_xlfn.STDEV.S(E54:E58), "0.0")</f>
        <v>1.0 ± 0.0</v>
      </c>
      <c r="F59" s="10" t="str">
        <f>TEXT(AVERAGE(F54:F58), "0.0%") &amp; " ± " &amp; TEXT(_xlfn.STDEV.S(F54:F58), "0.0%")</f>
        <v>95.0% ± 0.0%</v>
      </c>
      <c r="G59" s="7"/>
      <c r="H59" s="7" t="e">
        <f>TEXT(AVERAGE(H54:H58), "0.0") &amp; " ± " &amp; TEXT(_xlfn.STDEV.S(H54:H58), "0.0")</f>
        <v>#DIV/0!</v>
      </c>
      <c r="I59" s="7" t="e">
        <f t="shared" ref="I59" si="21">TEXT(AVERAGE(I54:I58), "0.0") &amp; " ± " &amp; TEXT(_xlfn.STDEV.S(I54:I58), "0.0")</f>
        <v>#DIV/0!</v>
      </c>
      <c r="J59" s="7" t="e">
        <f t="shared" ref="J59" si="22">TEXT(AVERAGE(J54:J58), "0.0") &amp; " ± " &amp; TEXT(_xlfn.STDEV.S(J54:J58), "0.0")</f>
        <v>#DIV/0!</v>
      </c>
      <c r="K59" s="10" t="str">
        <f>TEXT(AVERAGE(K54:K58), "0.0%") &amp; " ± " &amp; TEXT(_xlfn.STDEV.S(K54:K58), "0.0%")</f>
        <v>0.0% ± 0.0%</v>
      </c>
    </row>
  </sheetData>
  <mergeCells count="18">
    <mergeCell ref="A54:A58"/>
    <mergeCell ref="C22:F22"/>
    <mergeCell ref="H22:K22"/>
    <mergeCell ref="A24:A28"/>
    <mergeCell ref="C32:F32"/>
    <mergeCell ref="H32:K32"/>
    <mergeCell ref="A34:A38"/>
    <mergeCell ref="C42:F42"/>
    <mergeCell ref="H42:K42"/>
    <mergeCell ref="A44:A48"/>
    <mergeCell ref="C52:F52"/>
    <mergeCell ref="H52:K52"/>
    <mergeCell ref="A14:A18"/>
    <mergeCell ref="C2:F2"/>
    <mergeCell ref="H2:K2"/>
    <mergeCell ref="A4:A8"/>
    <mergeCell ref="C12:F12"/>
    <mergeCell ref="H12:K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Empirical Results Experts</vt:lpstr>
      <vt:lpstr>Formal Results Router</vt:lpstr>
      <vt:lpstr>Formal Results Expert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Quang M</dc:creator>
  <cp:lastModifiedBy>Pham, Quang M</cp:lastModifiedBy>
  <cp:lastPrinted>2025-11-13T00:35:44Z</cp:lastPrinted>
  <dcterms:created xsi:type="dcterms:W3CDTF">2025-11-12T22:17:14Z</dcterms:created>
  <dcterms:modified xsi:type="dcterms:W3CDTF">2025-11-26T19:09:34Z</dcterms:modified>
</cp:coreProperties>
</file>