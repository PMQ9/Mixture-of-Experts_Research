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xture-of-Experts_Research\paper\"/>
    </mc:Choice>
  </mc:AlternateContent>
  <xr:revisionPtr revIDLastSave="0" documentId="13_ncr:1_{D058737F-6797-4850-BE41-202350495F45}" xr6:coauthVersionLast="47" xr6:coauthVersionMax="47" xr10:uidLastSave="{00000000-0000-0000-0000-000000000000}"/>
  <bookViews>
    <workbookView xWindow="-86" yWindow="0" windowWidth="16629" windowHeight="17880" activeTab="1" xr2:uid="{7F82E78F-F225-4B75-B204-CA5D83064D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10" i="2"/>
  <c r="H9" i="2"/>
  <c r="C21" i="2"/>
  <c r="F20" i="2"/>
  <c r="E20" i="2"/>
  <c r="D20" i="2"/>
  <c r="C20" i="2"/>
  <c r="F19" i="2"/>
  <c r="F21" i="2" s="1"/>
  <c r="E19" i="2"/>
  <c r="E21" i="2" s="1"/>
  <c r="D19" i="2"/>
  <c r="D21" i="2" s="1"/>
  <c r="C19" i="2"/>
  <c r="H19" i="2" s="1"/>
  <c r="D10" i="2"/>
  <c r="E10" i="2"/>
  <c r="F10" i="2"/>
  <c r="C10" i="2"/>
  <c r="D9" i="2"/>
  <c r="D11" i="2" s="1"/>
  <c r="E9" i="2"/>
  <c r="E11" i="2" s="1"/>
  <c r="F9" i="2"/>
  <c r="F11" i="2" s="1"/>
  <c r="C9" i="2"/>
  <c r="C11" i="2" s="1"/>
  <c r="J22" i="1"/>
  <c r="D46" i="1"/>
  <c r="D45" i="1"/>
  <c r="K47" i="1"/>
  <c r="I47" i="1"/>
  <c r="G47" i="1"/>
  <c r="F47" i="1"/>
  <c r="D47" i="1"/>
  <c r="K46" i="1"/>
  <c r="I46" i="1"/>
  <c r="G46" i="1"/>
  <c r="F46" i="1"/>
  <c r="K45" i="1"/>
  <c r="J45" i="1"/>
  <c r="I45" i="1"/>
  <c r="H45" i="1"/>
  <c r="G45" i="1"/>
  <c r="F45" i="1"/>
  <c r="E45" i="1"/>
  <c r="E23" i="1"/>
  <c r="F23" i="1"/>
  <c r="G23" i="1"/>
  <c r="H23" i="1"/>
  <c r="I23" i="1"/>
  <c r="J23" i="1"/>
  <c r="K23" i="1"/>
  <c r="E24" i="1"/>
  <c r="F24" i="1"/>
  <c r="G24" i="1"/>
  <c r="H24" i="1"/>
  <c r="I24" i="1"/>
  <c r="J24" i="1"/>
  <c r="K24" i="1"/>
  <c r="D24" i="1"/>
  <c r="D23" i="1"/>
  <c r="F22" i="1"/>
  <c r="E22" i="1"/>
  <c r="D22" i="1"/>
  <c r="G22" i="1"/>
  <c r="H22" i="1"/>
  <c r="I22" i="1"/>
  <c r="K22" i="1"/>
  <c r="J31" i="1"/>
  <c r="H30" i="1"/>
  <c r="H31" i="1"/>
  <c r="E31" i="1"/>
  <c r="J43" i="1"/>
  <c r="J42" i="1"/>
  <c r="J41" i="1"/>
  <c r="J40" i="1"/>
  <c r="J37" i="1"/>
  <c r="J46" i="1" s="1"/>
  <c r="J36" i="1"/>
  <c r="J35" i="1"/>
  <c r="J34" i="1"/>
  <c r="J18" i="1"/>
  <c r="J19" i="1"/>
  <c r="J20" i="1"/>
  <c r="J17" i="1"/>
  <c r="J12" i="1"/>
  <c r="J13" i="1"/>
  <c r="J14" i="1"/>
  <c r="J11" i="1"/>
  <c r="K44" i="1"/>
  <c r="I44" i="1"/>
  <c r="G44" i="1"/>
  <c r="F44" i="1"/>
  <c r="D44" i="1"/>
  <c r="K38" i="1"/>
  <c r="I38" i="1"/>
  <c r="G38" i="1"/>
  <c r="F38" i="1"/>
  <c r="D38" i="1"/>
  <c r="K32" i="1"/>
  <c r="I32" i="1"/>
  <c r="G32" i="1"/>
  <c r="F32" i="1"/>
  <c r="D32" i="1"/>
  <c r="K21" i="1"/>
  <c r="I21" i="1"/>
  <c r="G21" i="1"/>
  <c r="F21" i="1"/>
  <c r="D21" i="1"/>
  <c r="K15" i="1"/>
  <c r="I15" i="1"/>
  <c r="G15" i="1"/>
  <c r="F15" i="1"/>
  <c r="D15" i="1"/>
  <c r="J8" i="1"/>
  <c r="H43" i="1"/>
  <c r="H42" i="1"/>
  <c r="H41" i="1"/>
  <c r="H40" i="1"/>
  <c r="E43" i="1"/>
  <c r="E42" i="1"/>
  <c r="E41" i="1"/>
  <c r="E40" i="1"/>
  <c r="H37" i="1"/>
  <c r="H36" i="1"/>
  <c r="H46" i="1" s="1"/>
  <c r="H35" i="1"/>
  <c r="H34" i="1"/>
  <c r="H33" i="1"/>
  <c r="E37" i="1"/>
  <c r="E36" i="1"/>
  <c r="E46" i="1" s="1"/>
  <c r="E35" i="1"/>
  <c r="E34" i="1"/>
  <c r="E33" i="1"/>
  <c r="H20" i="1"/>
  <c r="H19" i="1"/>
  <c r="H18" i="1"/>
  <c r="H17" i="1"/>
  <c r="E20" i="1"/>
  <c r="E19" i="1"/>
  <c r="E18" i="1"/>
  <c r="E17" i="1"/>
  <c r="H14" i="1"/>
  <c r="H13" i="1"/>
  <c r="H12" i="1"/>
  <c r="H11" i="1"/>
  <c r="E12" i="1"/>
  <c r="E13" i="1"/>
  <c r="E14" i="1"/>
  <c r="E11" i="1"/>
  <c r="H6" i="1"/>
  <c r="H7" i="1"/>
  <c r="H8" i="1"/>
  <c r="E6" i="1"/>
  <c r="E7" i="1"/>
  <c r="E8" i="1"/>
  <c r="E5" i="1"/>
  <c r="H27" i="1"/>
  <c r="H28" i="1"/>
  <c r="H29" i="1"/>
  <c r="J39" i="1"/>
  <c r="H39" i="1"/>
  <c r="E39" i="1"/>
  <c r="J33" i="1"/>
  <c r="J30" i="1"/>
  <c r="E30" i="1"/>
  <c r="J29" i="1"/>
  <c r="E29" i="1"/>
  <c r="J28" i="1"/>
  <c r="E28" i="1"/>
  <c r="J27" i="1"/>
  <c r="E27" i="1"/>
  <c r="J7" i="1"/>
  <c r="J16" i="1"/>
  <c r="H16" i="1"/>
  <c r="E16" i="1"/>
  <c r="J10" i="1"/>
  <c r="H10" i="1"/>
  <c r="E10" i="1"/>
  <c r="J6" i="1"/>
  <c r="J5" i="1"/>
  <c r="J4" i="1"/>
  <c r="H5" i="1"/>
  <c r="H4" i="1"/>
  <c r="E4" i="1"/>
  <c r="F9" i="1"/>
  <c r="G9" i="1"/>
  <c r="I9" i="1"/>
  <c r="K9" i="1"/>
  <c r="D9" i="1"/>
  <c r="E47" i="1" l="1"/>
  <c r="H47" i="1"/>
  <c r="J47" i="1"/>
  <c r="E44" i="1"/>
  <c r="H38" i="1"/>
  <c r="H44" i="1"/>
  <c r="J38" i="1"/>
  <c r="J44" i="1"/>
  <c r="E38" i="1"/>
  <c r="J32" i="1"/>
  <c r="H32" i="1"/>
  <c r="E32" i="1"/>
  <c r="J21" i="1"/>
  <c r="H21" i="1"/>
  <c r="E21" i="1"/>
  <c r="H15" i="1"/>
  <c r="J15" i="1"/>
  <c r="E15" i="1"/>
  <c r="J9" i="1"/>
  <c r="H9" i="1"/>
  <c r="E9" i="1"/>
</calcChain>
</file>

<file path=xl/sharedStrings.xml><?xml version="1.0" encoding="utf-8"?>
<sst xmlns="http://schemas.openxmlformats.org/spreadsheetml/2006/main" count="42" uniqueCount="15">
  <si>
    <t>epsilon</t>
  </si>
  <si>
    <t>Verified</t>
  </si>
  <si>
    <t>Falsified</t>
  </si>
  <si>
    <t>Unknown</t>
  </si>
  <si>
    <t>Avg Time</t>
  </si>
  <si>
    <t>Success Rate</t>
  </si>
  <si>
    <t>MNIST</t>
  </si>
  <si>
    <t>CIFAR-10</t>
  </si>
  <si>
    <t>avg</t>
  </si>
  <si>
    <t>num images</t>
  </si>
  <si>
    <t>NRT</t>
  </si>
  <si>
    <t>RT</t>
  </si>
  <si>
    <t>std</t>
  </si>
  <si>
    <t>Clean Acc</t>
  </si>
  <si>
    <t>Adv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</si>
</sst>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0" fillId="0" borderId="3" xfId="0" applyBorder="1"/>
    <xf numFmtId="9" fontId="0" fillId="0" borderId="4" xfId="1" applyFont="1" applyBorder="1"/>
    <xf numFmtId="2" fontId="0" fillId="0" borderId="5" xfId="0" applyNumberFormat="1" applyBorder="1"/>
    <xf numFmtId="10" fontId="0" fillId="0" borderId="1" xfId="0" applyNumberFormat="1" applyBorder="1"/>
    <xf numFmtId="0" fontId="0" fillId="0" borderId="5" xfId="0" applyBorder="1"/>
    <xf numFmtId="164" fontId="0" fillId="0" borderId="4" xfId="0" applyNumberFormat="1" applyBorder="1"/>
    <xf numFmtId="164" fontId="0" fillId="0" borderId="5" xfId="0" applyNumberFormat="1" applyBorder="1"/>
    <xf numFmtId="10" fontId="0" fillId="0" borderId="4" xfId="1" applyNumberFormat="1" applyFont="1" applyBorder="1"/>
    <xf numFmtId="164" fontId="0" fillId="0" borderId="0" xfId="0" applyNumberForma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52AC-B951-4303-84A2-1510182D5632}">
  <dimension ref="A2:N47"/>
  <sheetViews>
    <sheetView zoomScale="85" zoomScaleNormal="85" workbookViewId="0">
      <selection activeCell="K9" sqref="B2:K9"/>
    </sheetView>
  </sheetViews>
  <sheetFormatPr defaultRowHeight="14.6" x14ac:dyDescent="0.4"/>
  <cols>
    <col min="2" max="2" width="12.4609375" customWidth="1"/>
    <col min="3" max="4" width="9.23046875" customWidth="1"/>
    <col min="10" max="10" width="12.61328125" customWidth="1"/>
    <col min="13" max="13" width="10.84375" customWidth="1"/>
    <col min="14" max="14" width="7.07421875" customWidth="1"/>
  </cols>
  <sheetData>
    <row r="2" spans="1:14" x14ac:dyDescent="0.4">
      <c r="B2" s="17" t="s">
        <v>0</v>
      </c>
      <c r="D2" s="16" t="s">
        <v>6</v>
      </c>
      <c r="E2" s="16"/>
      <c r="F2" s="16"/>
      <c r="G2" s="16" t="s">
        <v>7</v>
      </c>
      <c r="H2" s="16"/>
      <c r="I2" s="16"/>
    </row>
    <row r="3" spans="1:14" x14ac:dyDescent="0.4">
      <c r="B3" s="18"/>
      <c r="D3" t="s">
        <v>1</v>
      </c>
      <c r="E3" t="s">
        <v>2</v>
      </c>
      <c r="F3" t="s">
        <v>3</v>
      </c>
      <c r="G3" t="s">
        <v>1</v>
      </c>
      <c r="H3" t="s">
        <v>2</v>
      </c>
      <c r="I3" t="s">
        <v>3</v>
      </c>
      <c r="J3" t="s">
        <v>5</v>
      </c>
      <c r="K3" t="s">
        <v>4</v>
      </c>
    </row>
    <row r="4" spans="1:14" x14ac:dyDescent="0.4">
      <c r="A4" s="13" t="s">
        <v>10</v>
      </c>
      <c r="B4" s="13">
        <v>7.8399999999999997E-3</v>
      </c>
      <c r="C4" s="2">
        <v>1</v>
      </c>
      <c r="D4" s="1">
        <v>19</v>
      </c>
      <c r="E4" s="1">
        <f>$N$10-D4-F4</f>
        <v>0</v>
      </c>
      <c r="F4" s="1">
        <v>1</v>
      </c>
      <c r="G4" s="1">
        <v>20</v>
      </c>
      <c r="H4" s="1">
        <f>$N$10-G4-I4</f>
        <v>0</v>
      </c>
      <c r="I4" s="1">
        <v>0</v>
      </c>
      <c r="J4" s="7">
        <f>(D4+G4)/($N$10*2)</f>
        <v>0.97499999999999998</v>
      </c>
      <c r="K4" s="2">
        <v>8.64</v>
      </c>
    </row>
    <row r="5" spans="1:14" x14ac:dyDescent="0.4">
      <c r="A5" s="14"/>
      <c r="B5" s="14"/>
      <c r="C5" s="4">
        <v>2</v>
      </c>
      <c r="D5">
        <v>20</v>
      </c>
      <c r="E5">
        <f>$N$10-D5-F5</f>
        <v>0</v>
      </c>
      <c r="F5">
        <v>0</v>
      </c>
      <c r="G5">
        <v>19</v>
      </c>
      <c r="H5">
        <f>$N$10-G5-I5</f>
        <v>0</v>
      </c>
      <c r="I5">
        <v>1</v>
      </c>
      <c r="J5" s="3">
        <f>(D5+G5)/($N$10*2)</f>
        <v>0.97499999999999998</v>
      </c>
      <c r="K5" s="4">
        <v>8.74</v>
      </c>
    </row>
    <row r="6" spans="1:14" x14ac:dyDescent="0.4">
      <c r="A6" s="14"/>
      <c r="B6" s="14"/>
      <c r="C6" s="4">
        <v>3</v>
      </c>
      <c r="D6">
        <v>20</v>
      </c>
      <c r="E6">
        <f>$N$10-D6-F6</f>
        <v>0</v>
      </c>
      <c r="F6">
        <v>0</v>
      </c>
      <c r="G6">
        <v>20</v>
      </c>
      <c r="H6">
        <f>$N$10-G6-I6</f>
        <v>0</v>
      </c>
      <c r="I6">
        <v>0</v>
      </c>
      <c r="J6" s="3">
        <f>(D6+G6)/($N$10*2)</f>
        <v>1</v>
      </c>
      <c r="K6" s="4">
        <v>9.7899999999999991</v>
      </c>
    </row>
    <row r="7" spans="1:14" x14ac:dyDescent="0.4">
      <c r="A7" s="14"/>
      <c r="B7" s="14"/>
      <c r="C7" s="4">
        <v>4</v>
      </c>
      <c r="D7">
        <v>18</v>
      </c>
      <c r="E7">
        <f>$N$10-D7-F7</f>
        <v>0</v>
      </c>
      <c r="F7">
        <v>2</v>
      </c>
      <c r="G7">
        <v>20</v>
      </c>
      <c r="H7">
        <f>$N$10-G7-I7</f>
        <v>0</v>
      </c>
      <c r="I7">
        <v>0</v>
      </c>
      <c r="J7" s="3">
        <f>(D7+G7)/($N$10*2)</f>
        <v>0.95</v>
      </c>
      <c r="K7" s="4">
        <v>8.73</v>
      </c>
    </row>
    <row r="8" spans="1:14" x14ac:dyDescent="0.4">
      <c r="A8" s="14"/>
      <c r="B8" s="14"/>
      <c r="C8" s="4">
        <v>5</v>
      </c>
      <c r="D8">
        <v>20</v>
      </c>
      <c r="E8">
        <f>$N$10-D8-F8</f>
        <v>0</v>
      </c>
      <c r="F8">
        <v>0</v>
      </c>
      <c r="G8">
        <v>20</v>
      </c>
      <c r="H8">
        <f>$N$10-G8-I8</f>
        <v>0</v>
      </c>
      <c r="I8">
        <v>0</v>
      </c>
      <c r="J8" s="3">
        <f>(D8+G8)/($N$10*2)</f>
        <v>1</v>
      </c>
      <c r="K8" s="4">
        <v>9.48</v>
      </c>
    </row>
    <row r="9" spans="1:14" x14ac:dyDescent="0.4">
      <c r="A9" s="14"/>
      <c r="B9" s="15"/>
      <c r="C9" s="8" t="s">
        <v>8</v>
      </c>
      <c r="D9" s="9">
        <f>AVERAGE(D4:D8)</f>
        <v>19.399999999999999</v>
      </c>
      <c r="E9" s="9">
        <f t="shared" ref="E9:K9" si="0">AVERAGE(E4:E8)</f>
        <v>0</v>
      </c>
      <c r="F9" s="9">
        <f t="shared" si="0"/>
        <v>0.6</v>
      </c>
      <c r="G9" s="9">
        <f t="shared" si="0"/>
        <v>19.8</v>
      </c>
      <c r="H9" s="9">
        <f t="shared" si="0"/>
        <v>0</v>
      </c>
      <c r="I9" s="9">
        <f t="shared" si="0"/>
        <v>0.2</v>
      </c>
      <c r="J9" s="11">
        <f t="shared" si="0"/>
        <v>0.98000000000000009</v>
      </c>
      <c r="K9" s="6">
        <f t="shared" si="0"/>
        <v>9.0760000000000023</v>
      </c>
    </row>
    <row r="10" spans="1:14" x14ac:dyDescent="0.4">
      <c r="A10" s="14"/>
      <c r="B10" s="13">
        <v>1.5689999999999999E-2</v>
      </c>
      <c r="C10" s="2">
        <v>1</v>
      </c>
      <c r="D10" s="1">
        <v>20</v>
      </c>
      <c r="E10" s="1">
        <f>$N$10-D10-F10</f>
        <v>0</v>
      </c>
      <c r="F10" s="1">
        <v>0</v>
      </c>
      <c r="G10" s="1">
        <v>20</v>
      </c>
      <c r="H10" s="1">
        <f>$N$10-G10-I10</f>
        <v>0</v>
      </c>
      <c r="I10" s="1">
        <v>0</v>
      </c>
      <c r="J10" s="7">
        <f>(D10+G10)/($N$10*2)</f>
        <v>1</v>
      </c>
      <c r="K10" s="2">
        <v>8.57</v>
      </c>
      <c r="M10" t="s">
        <v>9</v>
      </c>
      <c r="N10">
        <v>20</v>
      </c>
    </row>
    <row r="11" spans="1:14" x14ac:dyDescent="0.4">
      <c r="A11" s="14"/>
      <c r="B11" s="14"/>
      <c r="C11" s="4">
        <v>2</v>
      </c>
      <c r="D11">
        <v>20</v>
      </c>
      <c r="E11">
        <f t="shared" ref="E11:E14" si="1">$N$10-D11-F11</f>
        <v>0</v>
      </c>
      <c r="F11">
        <v>0</v>
      </c>
      <c r="G11">
        <v>20</v>
      </c>
      <c r="H11">
        <f t="shared" ref="H11:H14" si="2">$N$10-G11-I11</f>
        <v>0</v>
      </c>
      <c r="I11">
        <v>0</v>
      </c>
      <c r="J11" s="3">
        <f>(D11+G11)/($N$10*2)</f>
        <v>1</v>
      </c>
      <c r="K11" s="4">
        <v>9.1199999999999992</v>
      </c>
    </row>
    <row r="12" spans="1:14" x14ac:dyDescent="0.4">
      <c r="A12" s="14"/>
      <c r="B12" s="14"/>
      <c r="C12" s="4">
        <v>3</v>
      </c>
      <c r="D12">
        <v>20</v>
      </c>
      <c r="E12">
        <f t="shared" si="1"/>
        <v>0</v>
      </c>
      <c r="F12">
        <v>0</v>
      </c>
      <c r="G12">
        <v>20</v>
      </c>
      <c r="H12">
        <f t="shared" si="2"/>
        <v>0</v>
      </c>
      <c r="I12">
        <v>0</v>
      </c>
      <c r="J12" s="3">
        <f t="shared" ref="J12:J14" si="3">(D12+G12)/($N$10*2)</f>
        <v>1</v>
      </c>
      <c r="K12" s="4">
        <v>8.48</v>
      </c>
    </row>
    <row r="13" spans="1:14" x14ac:dyDescent="0.4">
      <c r="A13" s="14"/>
      <c r="B13" s="14"/>
      <c r="C13" s="4">
        <v>4</v>
      </c>
      <c r="D13">
        <v>20</v>
      </c>
      <c r="E13">
        <f t="shared" si="1"/>
        <v>0</v>
      </c>
      <c r="F13">
        <v>0</v>
      </c>
      <c r="G13">
        <v>20</v>
      </c>
      <c r="H13">
        <f t="shared" si="2"/>
        <v>0</v>
      </c>
      <c r="I13">
        <v>0</v>
      </c>
      <c r="J13" s="3">
        <f t="shared" si="3"/>
        <v>1</v>
      </c>
      <c r="K13" s="4">
        <v>9.0399999999999991</v>
      </c>
    </row>
    <row r="14" spans="1:14" x14ac:dyDescent="0.4">
      <c r="A14" s="14"/>
      <c r="B14" s="14"/>
      <c r="C14" s="4">
        <v>5</v>
      </c>
      <c r="D14">
        <v>19</v>
      </c>
      <c r="E14">
        <f t="shared" si="1"/>
        <v>0</v>
      </c>
      <c r="F14">
        <v>1</v>
      </c>
      <c r="G14">
        <v>20</v>
      </c>
      <c r="H14">
        <f t="shared" si="2"/>
        <v>0</v>
      </c>
      <c r="I14">
        <v>0</v>
      </c>
      <c r="J14" s="3">
        <f t="shared" si="3"/>
        <v>0.97499999999999998</v>
      </c>
      <c r="K14" s="4">
        <v>8.57</v>
      </c>
    </row>
    <row r="15" spans="1:14" x14ac:dyDescent="0.4">
      <c r="A15" s="14"/>
      <c r="B15" s="15"/>
      <c r="C15" s="8" t="s">
        <v>8</v>
      </c>
      <c r="D15" s="9">
        <f>AVERAGE(D10:D14)</f>
        <v>19.8</v>
      </c>
      <c r="E15" s="9">
        <f t="shared" ref="E15" si="4">AVERAGE(E10:E14)</f>
        <v>0</v>
      </c>
      <c r="F15" s="9">
        <f t="shared" ref="F15" si="5">AVERAGE(F10:F14)</f>
        <v>0.2</v>
      </c>
      <c r="G15" s="9">
        <f t="shared" ref="G15" si="6">AVERAGE(G10:G14)</f>
        <v>20</v>
      </c>
      <c r="H15" s="9">
        <f t="shared" ref="H15" si="7">AVERAGE(H10:H14)</f>
        <v>0</v>
      </c>
      <c r="I15" s="9">
        <f t="shared" ref="I15" si="8">AVERAGE(I10:I14)</f>
        <v>0</v>
      </c>
      <c r="J15" s="11">
        <f t="shared" ref="J15" si="9">AVERAGE(J10:J14)</f>
        <v>0.99499999999999988</v>
      </c>
      <c r="K15" s="6">
        <f t="shared" ref="K15" si="10">AVERAGE(K10:K14)</f>
        <v>8.7559999999999985</v>
      </c>
    </row>
    <row r="16" spans="1:14" x14ac:dyDescent="0.4">
      <c r="A16" s="14"/>
      <c r="B16" s="13">
        <v>3.1370000000000002E-2</v>
      </c>
      <c r="C16" s="2">
        <v>1</v>
      </c>
      <c r="D16" s="1">
        <v>20</v>
      </c>
      <c r="E16" s="1">
        <f>$N$10-D16-F16</f>
        <v>0</v>
      </c>
      <c r="F16" s="1">
        <v>0</v>
      </c>
      <c r="G16" s="1">
        <v>20</v>
      </c>
      <c r="H16" s="1">
        <f>$N$10-G16-I16</f>
        <v>0</v>
      </c>
      <c r="I16" s="1">
        <v>0</v>
      </c>
      <c r="J16" s="7">
        <f>(D16+G16)/($N$10*2)</f>
        <v>1</v>
      </c>
      <c r="K16" s="2">
        <v>8.4700000000000006</v>
      </c>
    </row>
    <row r="17" spans="1:11" x14ac:dyDescent="0.4">
      <c r="A17" s="14"/>
      <c r="B17" s="14"/>
      <c r="C17" s="4">
        <v>2</v>
      </c>
      <c r="D17">
        <v>20</v>
      </c>
      <c r="E17">
        <f t="shared" ref="E17:E20" si="11">$N$10-D17-F17</f>
        <v>0</v>
      </c>
      <c r="F17">
        <v>0</v>
      </c>
      <c r="G17">
        <v>20</v>
      </c>
      <c r="H17">
        <f t="shared" ref="H17:H20" si="12">$N$10-G17-I17</f>
        <v>0</v>
      </c>
      <c r="I17">
        <v>0</v>
      </c>
      <c r="J17" s="3">
        <f>(D17+G17)/($N$10*2)</f>
        <v>1</v>
      </c>
      <c r="K17" s="4">
        <v>10.119999999999999</v>
      </c>
    </row>
    <row r="18" spans="1:11" x14ac:dyDescent="0.4">
      <c r="A18" s="14"/>
      <c r="B18" s="14"/>
      <c r="C18" s="4">
        <v>3</v>
      </c>
      <c r="D18">
        <v>20</v>
      </c>
      <c r="E18">
        <f t="shared" si="11"/>
        <v>0</v>
      </c>
      <c r="F18">
        <v>0</v>
      </c>
      <c r="G18">
        <v>20</v>
      </c>
      <c r="H18">
        <f t="shared" si="12"/>
        <v>0</v>
      </c>
      <c r="I18">
        <v>0</v>
      </c>
      <c r="J18" s="3">
        <f t="shared" ref="J18:J20" si="13">(D18+G18)/($N$10*2)</f>
        <v>1</v>
      </c>
      <c r="K18" s="4">
        <v>8.4600000000000009</v>
      </c>
    </row>
    <row r="19" spans="1:11" x14ac:dyDescent="0.4">
      <c r="A19" s="14"/>
      <c r="B19" s="14"/>
      <c r="C19" s="4">
        <v>4</v>
      </c>
      <c r="D19">
        <v>20</v>
      </c>
      <c r="E19">
        <f t="shared" si="11"/>
        <v>0</v>
      </c>
      <c r="F19">
        <v>0</v>
      </c>
      <c r="G19">
        <v>20</v>
      </c>
      <c r="H19">
        <f t="shared" si="12"/>
        <v>0</v>
      </c>
      <c r="I19">
        <v>0</v>
      </c>
      <c r="J19" s="3">
        <f t="shared" si="13"/>
        <v>1</v>
      </c>
      <c r="K19" s="4">
        <v>11.54</v>
      </c>
    </row>
    <row r="20" spans="1:11" x14ac:dyDescent="0.4">
      <c r="A20" s="14"/>
      <c r="B20" s="14"/>
      <c r="C20" s="4">
        <v>5</v>
      </c>
      <c r="D20">
        <v>20</v>
      </c>
      <c r="E20">
        <f t="shared" si="11"/>
        <v>0</v>
      </c>
      <c r="F20">
        <v>0</v>
      </c>
      <c r="G20">
        <v>20</v>
      </c>
      <c r="H20">
        <f t="shared" si="12"/>
        <v>0</v>
      </c>
      <c r="I20">
        <v>0</v>
      </c>
      <c r="J20" s="3">
        <f t="shared" si="13"/>
        <v>1</v>
      </c>
      <c r="K20" s="4">
        <v>8.57</v>
      </c>
    </row>
    <row r="21" spans="1:11" x14ac:dyDescent="0.4">
      <c r="A21" s="15"/>
      <c r="B21" s="15"/>
      <c r="C21" s="8" t="s">
        <v>8</v>
      </c>
      <c r="D21" s="9">
        <f>AVERAGE(D16:D20)</f>
        <v>20</v>
      </c>
      <c r="E21" s="9">
        <f t="shared" ref="E21" si="14">AVERAGE(E16:E20)</f>
        <v>0</v>
      </c>
      <c r="F21" s="9">
        <f t="shared" ref="F21" si="15">AVERAGE(F16:F20)</f>
        <v>0</v>
      </c>
      <c r="G21" s="9">
        <f t="shared" ref="G21" si="16">AVERAGE(G16:G20)</f>
        <v>20</v>
      </c>
      <c r="H21" s="9">
        <f t="shared" ref="H21" si="17">AVERAGE(H16:H20)</f>
        <v>0</v>
      </c>
      <c r="I21" s="9">
        <f t="shared" ref="I21" si="18">AVERAGE(I16:I20)</f>
        <v>0</v>
      </c>
      <c r="J21" s="5">
        <f t="shared" ref="J21" si="19">AVERAGE(J16:J20)</f>
        <v>1</v>
      </c>
      <c r="K21" s="10">
        <f t="shared" ref="K21" si="20">AVERAGE(K16:K20)</f>
        <v>9.4320000000000004</v>
      </c>
    </row>
    <row r="22" spans="1:11" x14ac:dyDescent="0.4">
      <c r="C22" t="s">
        <v>12</v>
      </c>
      <c r="D22" s="12">
        <f>_xlfn.STDEV.S(D4:D8)</f>
        <v>0.89442719099991586</v>
      </c>
      <c r="E22" s="12">
        <f>_xlfn.STDEV.S(E4:E8)</f>
        <v>0</v>
      </c>
      <c r="F22" s="12">
        <f>_xlfn.STDEV.S(F4:F8)</f>
        <v>0.89442719099991586</v>
      </c>
      <c r="G22" s="12">
        <f t="shared" ref="G22:K22" si="21">_xlfn.STDEV.S(G4:G8)</f>
        <v>0.44721359549995793</v>
      </c>
      <c r="H22" s="12">
        <f t="shared" si="21"/>
        <v>0</v>
      </c>
      <c r="I22" s="12">
        <f t="shared" si="21"/>
        <v>0.44721359549995793</v>
      </c>
      <c r="J22" s="12">
        <f>_xlfn.STDEV.S(J4:J8)</f>
        <v>2.0916500663351906E-2</v>
      </c>
      <c r="K22" s="12">
        <f t="shared" si="21"/>
        <v>0.52338322479804367</v>
      </c>
    </row>
    <row r="23" spans="1:11" x14ac:dyDescent="0.4">
      <c r="C23" t="s">
        <v>12</v>
      </c>
      <c r="D23" s="12">
        <f>_xlfn.STDEV.S(D10:D14)</f>
        <v>0.44721359549995793</v>
      </c>
      <c r="E23" s="12">
        <f t="shared" ref="E23:K23" si="22">_xlfn.STDEV.S(E10:E14)</f>
        <v>0</v>
      </c>
      <c r="F23" s="12">
        <f t="shared" si="22"/>
        <v>0.44721359549995793</v>
      </c>
      <c r="G23" s="12">
        <f t="shared" si="22"/>
        <v>0</v>
      </c>
      <c r="H23" s="12">
        <f t="shared" si="22"/>
        <v>0</v>
      </c>
      <c r="I23" s="12">
        <f t="shared" si="22"/>
        <v>0</v>
      </c>
      <c r="J23" s="12">
        <f t="shared" si="22"/>
        <v>1.1180339887498959E-2</v>
      </c>
      <c r="K23" s="12">
        <f t="shared" si="22"/>
        <v>0.29938269823087577</v>
      </c>
    </row>
    <row r="24" spans="1:11" x14ac:dyDescent="0.4">
      <c r="C24" t="s">
        <v>12</v>
      </c>
      <c r="D24" s="12">
        <f>_xlfn.STDEV.S(D16:D20)</f>
        <v>0</v>
      </c>
      <c r="E24" s="12">
        <f t="shared" ref="E24:K24" si="23">_xlfn.STDEV.S(E16:E20)</f>
        <v>0</v>
      </c>
      <c r="F24" s="12">
        <f t="shared" si="23"/>
        <v>0</v>
      </c>
      <c r="G24" s="12">
        <f t="shared" si="23"/>
        <v>0</v>
      </c>
      <c r="H24" s="12">
        <f t="shared" si="23"/>
        <v>0</v>
      </c>
      <c r="I24" s="12">
        <f t="shared" si="23"/>
        <v>0</v>
      </c>
      <c r="J24" s="12">
        <f t="shared" si="23"/>
        <v>0</v>
      </c>
      <c r="K24" s="12">
        <f t="shared" si="23"/>
        <v>1.3720677825821823</v>
      </c>
    </row>
    <row r="27" spans="1:11" x14ac:dyDescent="0.4">
      <c r="A27" s="13" t="s">
        <v>11</v>
      </c>
      <c r="B27" s="13">
        <v>7.8399999999999997E-3</v>
      </c>
      <c r="C27" s="2">
        <v>1</v>
      </c>
      <c r="D27" s="1">
        <v>20</v>
      </c>
      <c r="E27" s="1">
        <f>$N$10-D27-F27</f>
        <v>0</v>
      </c>
      <c r="F27" s="1">
        <v>0</v>
      </c>
      <c r="G27" s="1">
        <v>20</v>
      </c>
      <c r="H27" s="1">
        <f>$N$10-G27-I27</f>
        <v>0</v>
      </c>
      <c r="I27" s="1">
        <v>0</v>
      </c>
      <c r="J27" s="7">
        <f>(D27+G27)/($N$10*2)</f>
        <v>1</v>
      </c>
      <c r="K27" s="2">
        <v>8.49</v>
      </c>
    </row>
    <row r="28" spans="1:11" x14ac:dyDescent="0.4">
      <c r="A28" s="14"/>
      <c r="B28" s="14"/>
      <c r="C28" s="4">
        <v>2</v>
      </c>
      <c r="D28">
        <v>20</v>
      </c>
      <c r="E28">
        <f>$N$10-D28-F28</f>
        <v>0</v>
      </c>
      <c r="F28">
        <v>0</v>
      </c>
      <c r="G28">
        <v>20</v>
      </c>
      <c r="H28">
        <f>$N$10-G28-I28</f>
        <v>0</v>
      </c>
      <c r="I28">
        <v>0</v>
      </c>
      <c r="J28" s="3">
        <f>(D28+G28)/($N$10*2)</f>
        <v>1</v>
      </c>
      <c r="K28" s="4">
        <v>10.29</v>
      </c>
    </row>
    <row r="29" spans="1:11" x14ac:dyDescent="0.4">
      <c r="A29" s="14"/>
      <c r="B29" s="14"/>
      <c r="C29" s="4">
        <v>3</v>
      </c>
      <c r="D29">
        <v>20</v>
      </c>
      <c r="E29">
        <f t="shared" ref="E29:E31" si="24">$N$10-D29-F29</f>
        <v>0</v>
      </c>
      <c r="F29">
        <v>0</v>
      </c>
      <c r="G29">
        <v>18</v>
      </c>
      <c r="H29">
        <f>$N$10-G29-I29</f>
        <v>0</v>
      </c>
      <c r="I29">
        <v>2</v>
      </c>
      <c r="J29" s="3">
        <f>(D29+G29)/($N$10*2)</f>
        <v>0.95</v>
      </c>
      <c r="K29" s="4">
        <v>8.58</v>
      </c>
    </row>
    <row r="30" spans="1:11" x14ac:dyDescent="0.4">
      <c r="A30" s="14"/>
      <c r="B30" s="14"/>
      <c r="C30" s="4">
        <v>4</v>
      </c>
      <c r="D30">
        <v>20</v>
      </c>
      <c r="E30">
        <f t="shared" si="24"/>
        <v>0</v>
      </c>
      <c r="F30">
        <v>0</v>
      </c>
      <c r="G30">
        <v>20</v>
      </c>
      <c r="H30">
        <f t="shared" ref="H30:H31" si="25">$N$10-G30-I30</f>
        <v>0</v>
      </c>
      <c r="I30">
        <v>0</v>
      </c>
      <c r="J30" s="3">
        <f>(D30+G30)/($N$10*2)</f>
        <v>1</v>
      </c>
      <c r="K30" s="4">
        <v>8.43</v>
      </c>
    </row>
    <row r="31" spans="1:11" x14ac:dyDescent="0.4">
      <c r="A31" s="14"/>
      <c r="B31" s="14"/>
      <c r="C31" s="4">
        <v>5</v>
      </c>
      <c r="D31">
        <v>20</v>
      </c>
      <c r="E31">
        <f t="shared" si="24"/>
        <v>0</v>
      </c>
      <c r="F31">
        <v>0</v>
      </c>
      <c r="G31">
        <v>20</v>
      </c>
      <c r="H31">
        <f t="shared" si="25"/>
        <v>0</v>
      </c>
      <c r="I31">
        <v>0</v>
      </c>
      <c r="J31" s="3">
        <f>(D31+G31)/($N$10*2)</f>
        <v>1</v>
      </c>
      <c r="K31" s="4">
        <v>10.01</v>
      </c>
    </row>
    <row r="32" spans="1:11" x14ac:dyDescent="0.4">
      <c r="A32" s="14"/>
      <c r="B32" s="15"/>
      <c r="C32" s="8" t="s">
        <v>8</v>
      </c>
      <c r="D32" s="9">
        <f>AVERAGE(D27:D31)</f>
        <v>20</v>
      </c>
      <c r="E32" s="9">
        <f t="shared" ref="E32" si="26">AVERAGE(E27:E31)</f>
        <v>0</v>
      </c>
      <c r="F32" s="9">
        <f t="shared" ref="F32" si="27">AVERAGE(F27:F31)</f>
        <v>0</v>
      </c>
      <c r="G32" s="9">
        <f t="shared" ref="G32" si="28">AVERAGE(G27:G31)</f>
        <v>19.600000000000001</v>
      </c>
      <c r="H32" s="9">
        <f t="shared" ref="H32" si="29">AVERAGE(H27:H31)</f>
        <v>0</v>
      </c>
      <c r="I32" s="9">
        <f t="shared" ref="I32" si="30">AVERAGE(I27:I31)</f>
        <v>0.4</v>
      </c>
      <c r="J32" s="5">
        <f t="shared" ref="J32" si="31">AVERAGE(J27:J31)</f>
        <v>0.99</v>
      </c>
      <c r="K32" s="10">
        <f t="shared" ref="K32" si="32">AVERAGE(K27:K31)</f>
        <v>9.16</v>
      </c>
    </row>
    <row r="33" spans="1:11" x14ac:dyDescent="0.4">
      <c r="A33" s="14"/>
      <c r="B33" s="13">
        <v>1.5689999999999999E-2</v>
      </c>
      <c r="C33" s="2">
        <v>1</v>
      </c>
      <c r="D33" s="1">
        <v>20</v>
      </c>
      <c r="E33">
        <f t="shared" ref="E33:E37" si="33">$N$10-D33-F33</f>
        <v>0</v>
      </c>
      <c r="F33" s="1">
        <v>0</v>
      </c>
      <c r="G33" s="1">
        <v>19</v>
      </c>
      <c r="H33">
        <f t="shared" ref="H33:H37" si="34">$N$10-G33-I33</f>
        <v>0</v>
      </c>
      <c r="I33" s="1">
        <v>1</v>
      </c>
      <c r="J33" s="7">
        <f>(D33+G33)/($N$10*2)</f>
        <v>0.97499999999999998</v>
      </c>
      <c r="K33" s="2">
        <v>8.58</v>
      </c>
    </row>
    <row r="34" spans="1:11" x14ac:dyDescent="0.4">
      <c r="A34" s="14"/>
      <c r="B34" s="14"/>
      <c r="C34" s="4">
        <v>2</v>
      </c>
      <c r="D34">
        <v>20</v>
      </c>
      <c r="E34">
        <f t="shared" si="33"/>
        <v>0</v>
      </c>
      <c r="F34">
        <v>0</v>
      </c>
      <c r="G34">
        <v>20</v>
      </c>
      <c r="H34">
        <f t="shared" si="34"/>
        <v>0</v>
      </c>
      <c r="I34">
        <v>0</v>
      </c>
      <c r="J34" s="3">
        <f t="shared" ref="J34:J37" si="35">(D34+G34)/($N$10*2)</f>
        <v>1</v>
      </c>
      <c r="K34" s="4">
        <v>9.93</v>
      </c>
    </row>
    <row r="35" spans="1:11" x14ac:dyDescent="0.4">
      <c r="A35" s="14"/>
      <c r="B35" s="14"/>
      <c r="C35" s="4">
        <v>3</v>
      </c>
      <c r="D35">
        <v>20</v>
      </c>
      <c r="E35">
        <f t="shared" si="33"/>
        <v>0</v>
      </c>
      <c r="F35">
        <v>0</v>
      </c>
      <c r="G35">
        <v>20</v>
      </c>
      <c r="H35">
        <f t="shared" si="34"/>
        <v>0</v>
      </c>
      <c r="I35">
        <v>0</v>
      </c>
      <c r="J35" s="3">
        <f t="shared" si="35"/>
        <v>1</v>
      </c>
      <c r="K35" s="4">
        <v>8.4700000000000006</v>
      </c>
    </row>
    <row r="36" spans="1:11" x14ac:dyDescent="0.4">
      <c r="A36" s="14"/>
      <c r="B36" s="14"/>
      <c r="C36" s="4">
        <v>4</v>
      </c>
      <c r="D36">
        <v>19</v>
      </c>
      <c r="E36">
        <f t="shared" si="33"/>
        <v>0</v>
      </c>
      <c r="F36">
        <v>1</v>
      </c>
      <c r="G36">
        <v>19</v>
      </c>
      <c r="H36">
        <f t="shared" si="34"/>
        <v>0</v>
      </c>
      <c r="I36">
        <v>1</v>
      </c>
      <c r="J36" s="3">
        <f t="shared" si="35"/>
        <v>0.95</v>
      </c>
      <c r="K36" s="4">
        <v>8.6300000000000008</v>
      </c>
    </row>
    <row r="37" spans="1:11" x14ac:dyDescent="0.4">
      <c r="A37" s="14"/>
      <c r="B37" s="14"/>
      <c r="C37" s="4">
        <v>5</v>
      </c>
      <c r="D37">
        <v>20</v>
      </c>
      <c r="E37">
        <f t="shared" si="33"/>
        <v>0</v>
      </c>
      <c r="F37">
        <v>0</v>
      </c>
      <c r="G37">
        <v>20</v>
      </c>
      <c r="H37">
        <f t="shared" si="34"/>
        <v>0</v>
      </c>
      <c r="I37">
        <v>0</v>
      </c>
      <c r="J37" s="3">
        <f t="shared" si="35"/>
        <v>1</v>
      </c>
      <c r="K37" s="4">
        <v>9.76</v>
      </c>
    </row>
    <row r="38" spans="1:11" x14ac:dyDescent="0.4">
      <c r="A38" s="14"/>
      <c r="B38" s="15"/>
      <c r="C38" s="8" t="s">
        <v>8</v>
      </c>
      <c r="D38" s="9">
        <f>AVERAGE(D33:D37)</f>
        <v>19.8</v>
      </c>
      <c r="E38" s="9">
        <f t="shared" ref="E38" si="36">AVERAGE(E33:E37)</f>
        <v>0</v>
      </c>
      <c r="F38" s="9">
        <f t="shared" ref="F38" si="37">AVERAGE(F33:F37)</f>
        <v>0.2</v>
      </c>
      <c r="G38" s="9">
        <f t="shared" ref="G38" si="38">AVERAGE(G33:G37)</f>
        <v>19.600000000000001</v>
      </c>
      <c r="H38" s="9">
        <f t="shared" ref="H38" si="39">AVERAGE(H33:H37)</f>
        <v>0</v>
      </c>
      <c r="I38" s="9">
        <f t="shared" ref="I38" si="40">AVERAGE(I33:I37)</f>
        <v>0.4</v>
      </c>
      <c r="J38" s="5">
        <f t="shared" ref="J38" si="41">AVERAGE(J33:J37)</f>
        <v>0.98499999999999999</v>
      </c>
      <c r="K38" s="10">
        <f t="shared" ref="K38" si="42">AVERAGE(K33:K37)</f>
        <v>9.0739999999999998</v>
      </c>
    </row>
    <row r="39" spans="1:11" x14ac:dyDescent="0.4">
      <c r="A39" s="14"/>
      <c r="B39" s="13">
        <v>3.1370000000000002E-2</v>
      </c>
      <c r="C39" s="2">
        <v>1</v>
      </c>
      <c r="D39" s="1">
        <v>20</v>
      </c>
      <c r="E39" s="1">
        <f>$N$10-D39-F39</f>
        <v>0</v>
      </c>
      <c r="F39" s="1">
        <v>0</v>
      </c>
      <c r="G39" s="1">
        <v>20</v>
      </c>
      <c r="H39" s="1">
        <f>$N$10-G39-I39</f>
        <v>0</v>
      </c>
      <c r="I39" s="1">
        <v>0</v>
      </c>
      <c r="J39" s="7">
        <f>(D39+G39)/($N$10*2)</f>
        <v>1</v>
      </c>
      <c r="K39" s="2">
        <v>8.57</v>
      </c>
    </row>
    <row r="40" spans="1:11" x14ac:dyDescent="0.4">
      <c r="A40" s="14"/>
      <c r="B40" s="14"/>
      <c r="C40" s="4">
        <v>2</v>
      </c>
      <c r="D40">
        <v>20</v>
      </c>
      <c r="E40">
        <f t="shared" ref="E40:E43" si="43">$N$10-D40-F40</f>
        <v>0</v>
      </c>
      <c r="F40">
        <v>0</v>
      </c>
      <c r="G40">
        <v>20</v>
      </c>
      <c r="H40">
        <f t="shared" ref="H40:H43" si="44">$N$10-G40-I40</f>
        <v>0</v>
      </c>
      <c r="I40">
        <v>0</v>
      </c>
      <c r="J40" s="3">
        <f t="shared" ref="J40:J43" si="45">(D40+G40)/($N$10*2)</f>
        <v>1</v>
      </c>
      <c r="K40" s="4">
        <v>10.49</v>
      </c>
    </row>
    <row r="41" spans="1:11" x14ac:dyDescent="0.4">
      <c r="A41" s="14"/>
      <c r="B41" s="14"/>
      <c r="C41" s="4">
        <v>3</v>
      </c>
      <c r="D41">
        <v>20</v>
      </c>
      <c r="E41">
        <f t="shared" si="43"/>
        <v>0</v>
      </c>
      <c r="F41">
        <v>0</v>
      </c>
      <c r="G41">
        <v>20</v>
      </c>
      <c r="H41">
        <f t="shared" si="44"/>
        <v>0</v>
      </c>
      <c r="I41">
        <v>0</v>
      </c>
      <c r="J41" s="3">
        <f t="shared" si="45"/>
        <v>1</v>
      </c>
      <c r="K41" s="4">
        <v>8.66</v>
      </c>
    </row>
    <row r="42" spans="1:11" x14ac:dyDescent="0.4">
      <c r="A42" s="14"/>
      <c r="B42" s="14"/>
      <c r="C42" s="4">
        <v>4</v>
      </c>
      <c r="D42">
        <v>20</v>
      </c>
      <c r="E42">
        <f t="shared" si="43"/>
        <v>0</v>
      </c>
      <c r="F42">
        <v>0</v>
      </c>
      <c r="G42">
        <v>20</v>
      </c>
      <c r="H42">
        <f t="shared" si="44"/>
        <v>0</v>
      </c>
      <c r="I42">
        <v>0</v>
      </c>
      <c r="J42" s="3">
        <f t="shared" si="45"/>
        <v>1</v>
      </c>
      <c r="K42" s="4">
        <v>8.58</v>
      </c>
    </row>
    <row r="43" spans="1:11" x14ac:dyDescent="0.4">
      <c r="A43" s="14"/>
      <c r="B43" s="14"/>
      <c r="C43" s="4">
        <v>5</v>
      </c>
      <c r="D43">
        <v>20</v>
      </c>
      <c r="E43">
        <f t="shared" si="43"/>
        <v>0</v>
      </c>
      <c r="F43">
        <v>0</v>
      </c>
      <c r="G43">
        <v>20</v>
      </c>
      <c r="H43">
        <f t="shared" si="44"/>
        <v>0</v>
      </c>
      <c r="I43">
        <v>0</v>
      </c>
      <c r="J43" s="3">
        <f t="shared" si="45"/>
        <v>1</v>
      </c>
      <c r="K43" s="4">
        <v>9.94</v>
      </c>
    </row>
    <row r="44" spans="1:11" x14ac:dyDescent="0.4">
      <c r="A44" s="15"/>
      <c r="B44" s="15"/>
      <c r="C44" s="8" t="s">
        <v>8</v>
      </c>
      <c r="D44" s="9">
        <f>AVERAGE(D39:D43)</f>
        <v>20</v>
      </c>
      <c r="E44" s="9">
        <f t="shared" ref="E44" si="46">AVERAGE(E39:E43)</f>
        <v>0</v>
      </c>
      <c r="F44" s="9">
        <f t="shared" ref="F44" si="47">AVERAGE(F39:F43)</f>
        <v>0</v>
      </c>
      <c r="G44" s="9">
        <f t="shared" ref="G44" si="48">AVERAGE(G39:G43)</f>
        <v>20</v>
      </c>
      <c r="H44" s="9">
        <f t="shared" ref="H44" si="49">AVERAGE(H39:H43)</f>
        <v>0</v>
      </c>
      <c r="I44" s="9">
        <f t="shared" ref="I44" si="50">AVERAGE(I39:I43)</f>
        <v>0</v>
      </c>
      <c r="J44" s="5">
        <f t="shared" ref="J44" si="51">AVERAGE(J39:J43)</f>
        <v>1</v>
      </c>
      <c r="K44" s="10">
        <f t="shared" ref="K44" si="52">AVERAGE(K39:K43)</f>
        <v>9.2480000000000011</v>
      </c>
    </row>
    <row r="45" spans="1:11" x14ac:dyDescent="0.4">
      <c r="C45" t="s">
        <v>12</v>
      </c>
      <c r="D45" s="12">
        <f>_xlfn.STDEV.S(D27:D31)</f>
        <v>0</v>
      </c>
      <c r="E45" s="12">
        <f>_xlfn.STDEV.S(E27:E31)</f>
        <v>0</v>
      </c>
      <c r="F45" s="12">
        <f>_xlfn.STDEV.S(F27:F31)</f>
        <v>0</v>
      </c>
      <c r="G45" s="12">
        <f t="shared" ref="G45:I45" si="53">_xlfn.STDEV.S(G27:G31)</f>
        <v>0.89442719099991586</v>
      </c>
      <c r="H45" s="12">
        <f t="shared" si="53"/>
        <v>0</v>
      </c>
      <c r="I45" s="12">
        <f t="shared" si="53"/>
        <v>0.89442719099991586</v>
      </c>
      <c r="J45" s="12">
        <f>_xlfn.STDEV.S(J27:J31)</f>
        <v>2.2360679774997918E-2</v>
      </c>
      <c r="K45" s="12">
        <f t="shared" ref="K45" si="54">_xlfn.STDEV.S(K27:K31)</f>
        <v>0.91071400560219751</v>
      </c>
    </row>
    <row r="46" spans="1:11" x14ac:dyDescent="0.4">
      <c r="C46" t="s">
        <v>12</v>
      </c>
      <c r="D46" s="12">
        <f>_xlfn.STDEV.S(D33:D37)</f>
        <v>0.44721359549995793</v>
      </c>
      <c r="E46" s="12">
        <f t="shared" ref="E46:K46" si="55">_xlfn.STDEV.S(E33:E37)</f>
        <v>0</v>
      </c>
      <c r="F46" s="12">
        <f t="shared" si="55"/>
        <v>0.44721359549995793</v>
      </c>
      <c r="G46" s="12">
        <f t="shared" si="55"/>
        <v>0.54772255750516607</v>
      </c>
      <c r="H46" s="12">
        <f t="shared" si="55"/>
        <v>0</v>
      </c>
      <c r="I46" s="12">
        <f t="shared" si="55"/>
        <v>0.54772255750516607</v>
      </c>
      <c r="J46" s="12">
        <f t="shared" si="55"/>
        <v>2.2360679774997918E-2</v>
      </c>
      <c r="K46" s="12">
        <f t="shared" si="55"/>
        <v>0.70875242503994251</v>
      </c>
    </row>
    <row r="47" spans="1:11" x14ac:dyDescent="0.4">
      <c r="C47" t="s">
        <v>12</v>
      </c>
      <c r="D47" s="12">
        <f>_xlfn.STDEV.S(D39:D43)</f>
        <v>0</v>
      </c>
      <c r="E47" s="12">
        <f t="shared" ref="E47:K47" si="56">_xlfn.STDEV.S(E39:E43)</f>
        <v>0</v>
      </c>
      <c r="F47" s="12">
        <f t="shared" si="56"/>
        <v>0</v>
      </c>
      <c r="G47" s="12">
        <f t="shared" si="56"/>
        <v>0</v>
      </c>
      <c r="H47" s="12">
        <f t="shared" si="56"/>
        <v>0</v>
      </c>
      <c r="I47" s="12">
        <f t="shared" si="56"/>
        <v>0</v>
      </c>
      <c r="J47" s="12">
        <f t="shared" si="56"/>
        <v>0</v>
      </c>
      <c r="K47" s="12">
        <f t="shared" si="56"/>
        <v>0.90458277675401266</v>
      </c>
    </row>
  </sheetData>
  <mergeCells count="11">
    <mergeCell ref="D2:F2"/>
    <mergeCell ref="G2:I2"/>
    <mergeCell ref="B4:B9"/>
    <mergeCell ref="B10:B15"/>
    <mergeCell ref="B16:B21"/>
    <mergeCell ref="B2:B3"/>
    <mergeCell ref="A4:A21"/>
    <mergeCell ref="A27:A44"/>
    <mergeCell ref="B27:B32"/>
    <mergeCell ref="B33:B38"/>
    <mergeCell ref="B39:B44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19F7-AE6D-458E-87E6-B4E28D246AFC}">
  <dimension ref="A2:H21"/>
  <sheetViews>
    <sheetView tabSelected="1" zoomScale="130" zoomScaleNormal="130" workbookViewId="0">
      <selection activeCell="H21" sqref="H21"/>
    </sheetView>
  </sheetViews>
  <sheetFormatPr defaultRowHeight="14.6" x14ac:dyDescent="0.4"/>
  <cols>
    <col min="3" max="3" width="13.84375" customWidth="1"/>
    <col min="4" max="4" width="14" customWidth="1"/>
    <col min="5" max="5" width="13.3046875" customWidth="1"/>
    <col min="6" max="6" width="14.61328125" customWidth="1"/>
    <col min="7" max="7" width="9.23046875" customWidth="1"/>
  </cols>
  <sheetData>
    <row r="2" spans="1:8" x14ac:dyDescent="0.4">
      <c r="C2" t="s">
        <v>6</v>
      </c>
      <c r="E2" t="s">
        <v>7</v>
      </c>
    </row>
    <row r="3" spans="1:8" x14ac:dyDescent="0.4">
      <c r="A3" s="17" t="s">
        <v>10</v>
      </c>
      <c r="C3" t="s">
        <v>13</v>
      </c>
      <c r="D3" t="s">
        <v>14</v>
      </c>
      <c r="E3" t="s">
        <v>13</v>
      </c>
      <c r="F3" t="s">
        <v>14</v>
      </c>
    </row>
    <row r="4" spans="1:8" x14ac:dyDescent="0.4">
      <c r="A4" s="17"/>
      <c r="B4">
        <v>1</v>
      </c>
      <c r="C4" s="3">
        <v>0.99099999999999999</v>
      </c>
      <c r="D4" s="3">
        <v>0.47189999999999999</v>
      </c>
      <c r="E4" s="3">
        <v>0.84099999999999997</v>
      </c>
      <c r="F4" s="3">
        <v>1E-4</v>
      </c>
    </row>
    <row r="5" spans="1:8" x14ac:dyDescent="0.4">
      <c r="A5" s="17"/>
      <c r="B5">
        <v>2</v>
      </c>
      <c r="C5" s="3">
        <v>0.99239999999999995</v>
      </c>
      <c r="D5" s="3">
        <v>0.62019999999999997</v>
      </c>
      <c r="E5" s="3">
        <v>0.83779999999999999</v>
      </c>
      <c r="F5" s="3">
        <v>2.9999999999999997E-4</v>
      </c>
    </row>
    <row r="6" spans="1:8" x14ac:dyDescent="0.4">
      <c r="A6" s="17"/>
      <c r="B6">
        <v>3</v>
      </c>
      <c r="C6" s="3">
        <v>0.99209999999999998</v>
      </c>
      <c r="D6" s="3">
        <v>0.52569999999999995</v>
      </c>
      <c r="E6" s="3">
        <v>0.83599999999999997</v>
      </c>
      <c r="F6" s="3">
        <v>1E-4</v>
      </c>
    </row>
    <row r="7" spans="1:8" x14ac:dyDescent="0.4">
      <c r="A7" s="17"/>
      <c r="B7">
        <v>4</v>
      </c>
      <c r="C7" s="3">
        <v>0.99139999999999995</v>
      </c>
      <c r="D7" s="3">
        <v>0.53390000000000004</v>
      </c>
      <c r="E7" s="3">
        <v>0.83750000000000002</v>
      </c>
      <c r="F7" s="3">
        <v>1E-4</v>
      </c>
    </row>
    <row r="8" spans="1:8" x14ac:dyDescent="0.4">
      <c r="A8" s="17"/>
      <c r="B8">
        <v>5</v>
      </c>
      <c r="C8" s="3">
        <v>0.99199999999999999</v>
      </c>
      <c r="D8" s="3">
        <v>0.60709999999999997</v>
      </c>
      <c r="E8" s="3">
        <v>0.83799999999999997</v>
      </c>
      <c r="F8" s="3">
        <v>0</v>
      </c>
    </row>
    <row r="9" spans="1:8" x14ac:dyDescent="0.4">
      <c r="A9" s="17"/>
      <c r="B9" t="s">
        <v>8</v>
      </c>
      <c r="C9" s="19">
        <f>AVERAGE(C4:C8)</f>
        <v>0.99177999999999999</v>
      </c>
      <c r="D9" s="19">
        <f t="shared" ref="D9:F9" si="0">AVERAGE(D4:D8)</f>
        <v>0.55176000000000003</v>
      </c>
      <c r="E9" s="19">
        <f t="shared" si="0"/>
        <v>0.83805999999999992</v>
      </c>
      <c r="F9" s="19">
        <f t="shared" si="0"/>
        <v>1.2000000000000002E-4</v>
      </c>
      <c r="H9" s="3">
        <f>C9-D9</f>
        <v>0.44001999999999997</v>
      </c>
    </row>
    <row r="10" spans="1:8" x14ac:dyDescent="0.4">
      <c r="A10" s="17"/>
      <c r="B10" t="s">
        <v>12</v>
      </c>
      <c r="C10" s="19">
        <f>_xlfn.STDEV.S(C4:C8)</f>
        <v>5.6745043836443855E-4</v>
      </c>
      <c r="D10" s="19">
        <f t="shared" ref="D10:F10" si="1">_xlfn.STDEV.S(D4:D8)</f>
        <v>6.1486323682588141E-2</v>
      </c>
      <c r="E10" s="19">
        <f t="shared" si="1"/>
        <v>1.8215378118501926E-3</v>
      </c>
      <c r="F10" s="19">
        <f t="shared" si="1"/>
        <v>1.0954451150103323E-4</v>
      </c>
      <c r="H10" s="3">
        <f>E9-F9</f>
        <v>0.83793999999999991</v>
      </c>
    </row>
    <row r="11" spans="1:8" x14ac:dyDescent="0.4">
      <c r="C11" t="str">
        <f>TEXT(C9,"0.00%") &amp; " ± " &amp; TEXT(C10,"0.00%")</f>
        <v>99.18% ± 0.06%</v>
      </c>
      <c r="D11" t="str">
        <f>TEXT(D9,"0.00%") &amp; " ± " &amp; TEXT(D10,"0.00%")</f>
        <v>55.18% ± 6.15%</v>
      </c>
      <c r="E11" t="str">
        <f>TEXT(E9,"0.00%") &amp; " ± " &amp; TEXT(E10,"0.00%")</f>
        <v>83.81% ± 0.18%</v>
      </c>
      <c r="F11" t="str">
        <f>TEXT(F9,"0.00%") &amp; " ± " &amp; TEXT(F10,"0.00%")</f>
        <v>0.01% ± 0.01%</v>
      </c>
    </row>
    <row r="13" spans="1:8" x14ac:dyDescent="0.4">
      <c r="A13" s="17" t="s">
        <v>11</v>
      </c>
      <c r="C13" t="s">
        <v>13</v>
      </c>
      <c r="D13" t="s">
        <v>14</v>
      </c>
      <c r="E13" t="s">
        <v>13</v>
      </c>
      <c r="F13" t="s">
        <v>14</v>
      </c>
    </row>
    <row r="14" spans="1:8" x14ac:dyDescent="0.4">
      <c r="A14" s="17"/>
      <c r="B14">
        <v>1</v>
      </c>
      <c r="C14" s="3">
        <v>0.99150000000000005</v>
      </c>
      <c r="D14" s="3">
        <v>0.87870000000000004</v>
      </c>
      <c r="E14" s="3">
        <v>0.77580000000000005</v>
      </c>
      <c r="F14" s="3">
        <v>0.1704</v>
      </c>
    </row>
    <row r="15" spans="1:8" x14ac:dyDescent="0.4">
      <c r="A15" s="17"/>
      <c r="B15">
        <v>2</v>
      </c>
      <c r="C15" s="3">
        <v>0.99070000000000003</v>
      </c>
      <c r="D15" s="3">
        <v>0.94769999999999999</v>
      </c>
      <c r="E15" s="3">
        <v>0.77559999999999996</v>
      </c>
      <c r="F15" s="3">
        <v>0.17100000000000001</v>
      </c>
    </row>
    <row r="16" spans="1:8" x14ac:dyDescent="0.4">
      <c r="A16" s="17"/>
      <c r="B16">
        <v>3</v>
      </c>
      <c r="C16" s="3">
        <v>0.99060000000000004</v>
      </c>
      <c r="D16" s="3">
        <v>0.94399999999999995</v>
      </c>
      <c r="E16" s="3">
        <v>0.77669999999999995</v>
      </c>
      <c r="F16" s="3">
        <v>0.17879999999999999</v>
      </c>
    </row>
    <row r="17" spans="1:8" x14ac:dyDescent="0.4">
      <c r="A17" s="17"/>
      <c r="B17">
        <v>4</v>
      </c>
      <c r="C17" s="3">
        <v>0.99139999999999995</v>
      </c>
      <c r="D17" s="3">
        <v>0.96519999999999995</v>
      </c>
      <c r="E17" s="3">
        <v>0.77839999999999998</v>
      </c>
      <c r="F17" s="3">
        <v>0.16700000000000001</v>
      </c>
    </row>
    <row r="18" spans="1:8" x14ac:dyDescent="0.4">
      <c r="A18" s="17"/>
      <c r="B18">
        <v>5</v>
      </c>
      <c r="C18" s="3">
        <v>0.99209999999999998</v>
      </c>
      <c r="D18" s="3">
        <v>0.87960000000000005</v>
      </c>
      <c r="E18" s="3">
        <v>0.77659999999999996</v>
      </c>
      <c r="F18" s="3">
        <v>0.16950000000000001</v>
      </c>
    </row>
    <row r="19" spans="1:8" x14ac:dyDescent="0.4">
      <c r="A19" s="17"/>
      <c r="B19" t="s">
        <v>8</v>
      </c>
      <c r="C19" s="19">
        <f>AVERAGE(C14:C18)</f>
        <v>0.99126000000000014</v>
      </c>
      <c r="D19" s="19">
        <f t="shared" ref="D19" si="2">AVERAGE(D14:D18)</f>
        <v>0.92303999999999997</v>
      </c>
      <c r="E19" s="19">
        <f t="shared" ref="E19" si="3">AVERAGE(E14:E18)</f>
        <v>0.77661999999999998</v>
      </c>
      <c r="F19" s="19">
        <f t="shared" ref="F19" si="4">AVERAGE(F14:F18)</f>
        <v>0.17133999999999999</v>
      </c>
      <c r="H19" s="3">
        <f>C19-D19</f>
        <v>6.8220000000000169E-2</v>
      </c>
    </row>
    <row r="20" spans="1:8" x14ac:dyDescent="0.4">
      <c r="A20" s="17"/>
      <c r="B20" t="s">
        <v>12</v>
      </c>
      <c r="C20" s="19">
        <f>_xlfn.STDEV.S(C14:C18)</f>
        <v>6.1886993787061242E-4</v>
      </c>
      <c r="D20" s="19">
        <f t="shared" ref="D20:F20" si="5">_xlfn.STDEV.S(D14:D18)</f>
        <v>4.0859429756177415E-2</v>
      </c>
      <c r="E20" s="19">
        <f t="shared" si="5"/>
        <v>1.1054410884348315E-3</v>
      </c>
      <c r="F20" s="19">
        <f t="shared" si="5"/>
        <v>4.4404954678503973E-3</v>
      </c>
      <c r="H20" s="3">
        <f>E19-F19</f>
        <v>0.60528000000000004</v>
      </c>
    </row>
    <row r="21" spans="1:8" x14ac:dyDescent="0.4">
      <c r="C21" t="str">
        <f>TEXT(C19,"0.00%") &amp; " ± " &amp; TEXT(C20,"0.00%")</f>
        <v>99.13% ± 0.06%</v>
      </c>
      <c r="D21" t="str">
        <f t="shared" ref="D21:F21" si="6">TEXT(D19,"0.00%") &amp; " ± " &amp; TEXT(D20,"0.00%")</f>
        <v>92.30% ± 4.09%</v>
      </c>
      <c r="E21" t="str">
        <f t="shared" si="6"/>
        <v>77.66% ± 0.11%</v>
      </c>
      <c r="F21" t="str">
        <f t="shared" si="6"/>
        <v>17.13% ± 0.44%</v>
      </c>
    </row>
  </sheetData>
  <mergeCells count="2">
    <mergeCell ref="A3:A10"/>
    <mergeCell ref="A13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Quang M</dc:creator>
  <cp:lastModifiedBy>Pham, Quang M</cp:lastModifiedBy>
  <cp:lastPrinted>2025-11-13T00:35:44Z</cp:lastPrinted>
  <dcterms:created xsi:type="dcterms:W3CDTF">2025-11-12T22:17:14Z</dcterms:created>
  <dcterms:modified xsi:type="dcterms:W3CDTF">2025-11-16T19:02:57Z</dcterms:modified>
</cp:coreProperties>
</file>